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Project Tracker" sheetId="2" state="visible" r:id="rId2"/>
    <sheet xmlns:r="http://schemas.openxmlformats.org/officeDocument/2006/relationships" name="Client Requirements" sheetId="3" state="visible" r:id="rId3"/>
    <sheet xmlns:r="http://schemas.openxmlformats.org/officeDocument/2006/relationships" name="Risks &amp; Issues" sheetId="4" state="visible" r:id="rId4"/>
    <sheet xmlns:r="http://schemas.openxmlformats.org/officeDocument/2006/relationships" name="Team Ro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FFFFFFFF"/>
      <scheme val="minor"/>
    </font>
    <font>
      <name val="Arial"/>
      <b val="1"/>
      <color theme="1"/>
      <scheme val="minor"/>
    </font>
    <font>
      <color rgb="FF0000FF"/>
      <u val="single"/>
    </font>
  </fonts>
  <fills count="4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CE6F1"/>
      </patternFill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1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1" fillId="3" borderId="0" pivotButton="0" quotePrefix="0" xfId="0"/>
    <xf numFmtId="0" fontId="3" fillId="3" borderId="0" pivotButton="0" quotePrefix="0" xfId="0"/>
    <xf numFmtId="0" fontId="1" fillId="3" borderId="0" pivotButton="0" quotePrefix="1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documentation.espressif.com/esp32-wroom-32_datasheet_en.pdf" TargetMode="External" Id="rId1"/><Relationship Type="http://schemas.openxmlformats.org/officeDocument/2006/relationships/hyperlink" Target="https://powermavelectronics.com/shop/module/ph-sensor-module-set/" TargetMode="External" Id="rId2"/><Relationship Type="http://schemas.openxmlformats.org/officeDocument/2006/relationships/hyperlink" Target="https://mm.digikey.com/Volume0/opasdata/d220001/medias/docus/2309/SEN0244_Web.pdf" TargetMode="External" Id="rId3"/><Relationship Type="http://schemas.openxmlformats.org/officeDocument/2006/relationships/hyperlink" Target="https://www.analog.com/media/en/technical-documentation/data-sheets/ds18b20.pdf" TargetMode="External" Id="rId4"/><Relationship Type="http://schemas.openxmlformats.org/officeDocument/2006/relationships/hyperlink" Target="https://powermavelectronics.com/shop/sensor/water-flow-sensor-zj-s201c/" TargetMode="External" Id="rId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"/>
    </sheetView>
  </sheetViews>
  <sheetFormatPr baseColWidth="8" defaultColWidth="12.63" defaultRowHeight="15.75" customHeight="1"/>
  <cols>
    <col width="22.88" customWidth="1" style="8" min="1" max="1"/>
    <col width="19.88" customWidth="1" style="8" min="2" max="2"/>
    <col width="44.63" customWidth="1" style="8" min="4" max="4"/>
  </cols>
  <sheetData>
    <row r="1">
      <c r="A1" s="6" t="inlineStr">
        <is>
          <t>IoT Embedded Water Filtration System — Project Tracker</t>
        </is>
      </c>
    </row>
    <row r="3">
      <c r="A3" s="6" t="inlineStr">
        <is>
          <t>Project Lead</t>
        </is>
      </c>
      <c r="B3" s="6" t="inlineStr">
        <is>
          <t>Nash</t>
        </is>
      </c>
      <c r="C3" s="6" t="inlineStr">
        <is>
          <t>Final Defense</t>
        </is>
      </c>
      <c r="D3" s="2" t="inlineStr">
        <is>
          <t>October 10, 2026</t>
        </is>
      </c>
    </row>
    <row r="4">
      <c r="A4" s="6" t="inlineStr">
        <is>
          <t>Team</t>
        </is>
      </c>
      <c r="B4" s="6" t="inlineStr">
        <is>
          <t>Nash • Alejandro • Edgar</t>
        </is>
      </c>
      <c r="C4" s="6" t="inlineStr">
        <is>
          <t>Feature Freeze</t>
        </is>
      </c>
      <c r="D4" s="2" t="inlineStr">
        <is>
          <t>October 8, 2026</t>
        </is>
      </c>
    </row>
    <row r="5">
      <c r="A5" s="6" t="inlineStr">
        <is>
          <t>Current Phase</t>
        </is>
      </c>
      <c r="B5" s="6" t="inlineStr">
        <is>
          <t>Phase 2 — Backend API core implemented in TypeScript (auth, telemetry, alerts, test runs, calibration, lab validation, maintenance, settings, devices, users); telemetry ingestion, CSV export, and alert-generation logic remain. Frontend v1 complete; Phase 0 hardware gaps pending.</t>
        </is>
      </c>
    </row>
    <row r="7">
      <c r="A7" s="6" t="inlineStr">
        <is>
          <t>TASK METRICS</t>
        </is>
      </c>
    </row>
    <row r="8">
      <c r="A8" s="6" t="inlineStr">
        <is>
          <t>Total Tasks</t>
        </is>
      </c>
      <c r="B8" s="6">
        <f>COUNTA('Project Tracker'!A2:A203)</f>
        <v/>
      </c>
      <c r="C8" s="6" t="inlineStr">
        <is>
          <t>Done</t>
        </is>
      </c>
      <c r="D8" s="6">
        <f>COUNTIF('Project Tracker'!H2:H203,"Done")</f>
        <v/>
      </c>
      <c r="E8" s="6" t="inlineStr">
        <is>
          <t>In Progress</t>
        </is>
      </c>
      <c r="F8" s="6">
        <f>COUNTIF('Project Tracker'!H2:H203,"In Progress")</f>
        <v/>
      </c>
      <c r="G8" s="6" t="inlineStr">
        <is>
          <t>Waiting Client</t>
        </is>
      </c>
      <c r="H8" s="6">
        <f>COUNTIF('Project Tracker'!H2:H203,"Waiting Client")</f>
        <v/>
      </c>
    </row>
    <row r="9">
      <c r="A9" s="6" t="inlineStr">
        <is>
          <t>Overall Progress</t>
        </is>
      </c>
      <c r="B9" s="6">
        <f>IF(B8=0,0,D8/B8)</f>
        <v/>
      </c>
    </row>
    <row r="11">
      <c r="A11" s="6" t="inlineStr">
        <is>
          <t>KEY MILESTONES</t>
        </is>
      </c>
      <c r="B11" s="6" t="inlineStr">
        <is>
          <t>Target</t>
        </is>
      </c>
      <c r="C11" s="6" t="inlineStr">
        <is>
          <t>Status</t>
        </is>
      </c>
      <c r="D11" s="6" t="inlineStr">
        <is>
          <t>Exit Criteria</t>
        </is>
      </c>
    </row>
    <row r="12">
      <c r="A12" s="6" t="inlineStr">
        <is>
          <t>Phase 0 Closeout</t>
        </is>
      </c>
      <c r="B12" s="2" t="inlineStr">
        <is>
          <t>Sep 15</t>
        </is>
      </c>
      <c r="C12" s="6" t="inlineStr">
        <is>
          <t>Waiting Client</t>
        </is>
      </c>
      <c r="D12" s="6" t="inlineStr">
        <is>
          <t>Repo + frontend foundation committed locally on feature/frontend-foundation; DB/API/simulator pending</t>
        </is>
      </c>
    </row>
    <row r="13">
      <c r="A13" s="6" t="inlineStr">
        <is>
          <t>Foundation + Simulator</t>
        </is>
      </c>
      <c r="B13" s="2" t="inlineStr">
        <is>
          <t>Sep 18</t>
        </is>
      </c>
      <c r="C13" s="6" t="inlineStr">
        <is>
          <t>In Progress</t>
        </is>
      </c>
      <c r="D13" s="6" t="inlineStr">
        <is>
          <t>8-screen frontend committed locally; connect simulator/API data pipeline, then push/merge through normal branch workflow</t>
        </is>
      </c>
    </row>
    <row r="14">
      <c r="A14" s="6" t="inlineStr">
        <is>
          <t>Web MVP</t>
        </is>
      </c>
      <c r="B14" s="2" t="inlineStr">
        <is>
          <t>Sep 23</t>
        </is>
      </c>
      <c r="C14" s="6" t="inlineStr">
        <is>
          <t>In Progress</t>
        </is>
      </c>
      <c r="D14" s="6" t="inlineStr">
        <is>
          <t>8-screen frontend complete; connect simulator/API data pipeline</t>
        </is>
      </c>
    </row>
    <row r="15">
      <c r="A15" s="6" t="inlineStr">
        <is>
          <t>ESP32 Data Integration</t>
        </is>
      </c>
      <c r="B15" s="2" t="inlineStr">
        <is>
          <t>Sep 30</t>
        </is>
      </c>
      <c r="C15" s="6" t="inlineStr">
        <is>
          <t>Not Started</t>
        </is>
      </c>
      <c r="D15" s="6" t="inlineStr">
        <is>
          <t>Real sensor data reaches dashboard</t>
        </is>
      </c>
    </row>
    <row r="16">
      <c r="A16" s="6" t="inlineStr">
        <is>
          <t>Hardware + Software Integration</t>
        </is>
      </c>
      <c r="B16" s="2" t="inlineStr">
        <is>
          <t>Oct 3</t>
        </is>
      </c>
      <c r="C16" s="6" t="inlineStr">
        <is>
          <t>Not Started</t>
        </is>
      </c>
      <c r="D16" s="6" t="inlineStr">
        <is>
          <t>Hardware + software end-to-end</t>
        </is>
      </c>
    </row>
    <row r="17">
      <c r="A17" s="6" t="inlineStr">
        <is>
          <t>Full Integration</t>
        </is>
      </c>
      <c r="B17" s="2" t="inlineStr">
        <is>
          <t>Oct 7</t>
        </is>
      </c>
      <c r="C17" s="6" t="inlineStr">
        <is>
          <t>Not Started</t>
        </is>
      </c>
      <c r="D17" s="6" t="inlineStr">
        <is>
          <t>Calibration, reliability, exports verified</t>
        </is>
      </c>
    </row>
    <row r="18">
      <c r="A18" s="6" t="inlineStr">
        <is>
          <t>Feature Freeze</t>
        </is>
      </c>
      <c r="B18" s="2" t="inlineStr">
        <is>
          <t>Oct 8</t>
        </is>
      </c>
      <c r="C18" s="6" t="inlineStr">
        <is>
          <t>Not Started</t>
        </is>
      </c>
      <c r="D18" s="6" t="inlineStr">
        <is>
          <t>Bug fixes only</t>
        </is>
      </c>
    </row>
    <row r="19">
      <c r="A19" s="6" t="inlineStr">
        <is>
          <t>Final Defense</t>
        </is>
      </c>
      <c r="B19" s="2" t="inlineStr">
        <is>
          <t>Oct 10</t>
        </is>
      </c>
      <c r="C19" s="6" t="inlineStr">
        <is>
          <t>Not Started</t>
        </is>
      </c>
      <c r="D19" s="6" t="inlineStr">
        <is>
          <t>Stable demo + backup plan</t>
        </is>
      </c>
    </row>
    <row r="21">
      <c r="A21" s="6" t="inlineStr">
        <is>
          <t>CURRENT BLOCKERS</t>
        </is>
      </c>
    </row>
    <row r="22">
      <c r="A22" s="6" t="inlineStr">
        <is>
          <t>• Exact turbidity sensor model missing</t>
        </is>
      </c>
    </row>
    <row r="23">
      <c r="A23" s="6" t="inlineStr">
        <is>
          <t>• Pump/UV-C electrical specs missing</t>
        </is>
      </c>
    </row>
    <row r="24">
      <c r="A24" s="6" t="inlineStr">
        <is>
          <t>• Final verified pin map not yet confirmed</t>
        </is>
      </c>
    </row>
    <row r="25">
      <c r="A25" s="6" t="inlineStr">
        <is>
          <t>• Approved water-quality thresholds missing</t>
        </is>
      </c>
    </row>
    <row r="26">
      <c r="A26" s="6" t="inlineStr">
        <is>
          <t>• Need pump/UV-C control vs monitor-only decision</t>
        </is>
      </c>
    </row>
    <row r="27">
      <c r="A27" s="6" t="inlineStr">
        <is>
          <t>• Need final sampling/save/cycle timing rule</t>
        </is>
      </c>
    </row>
    <row r="28">
      <c r="A28" s="6" t="inlineStr">
        <is>
          <t>• Backend API implemented (Express + TypeScript, commit 598f0e1) per API ROUTES PLAN — needs team review/approval; telemetry ingestion + CSV export + alert-generation logic still outstanding.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56"/>
  <sheetViews>
    <sheetView workbookViewId="0">
      <selection activeCell="A1" sqref="A1"/>
    </sheetView>
  </sheetViews>
  <sheetFormatPr baseColWidth="8" defaultColWidth="12.63" defaultRowHeight="15.75" customHeight="1"/>
  <cols>
    <col width="37.25" customWidth="1" style="8" min="4" max="4"/>
    <col width="0.38" customWidth="1" style="8" min="6" max="6"/>
    <col width="40.75" customWidth="1" style="8" min="10" max="10"/>
    <col width="40" customWidth="1" style="8" min="11" max="11"/>
  </cols>
  <sheetData>
    <row r="1">
      <c r="A1" s="3" t="inlineStr">
        <is>
          <t>Task ID</t>
        </is>
      </c>
      <c r="B1" s="3" t="inlineStr">
        <is>
          <t>Phase</t>
        </is>
      </c>
      <c r="C1" s="3" t="inlineStr">
        <is>
          <t>Workstream</t>
        </is>
      </c>
      <c r="D1" s="3" t="inlineStr">
        <is>
          <t>Task</t>
        </is>
      </c>
      <c r="E1" s="3" t="inlineStr">
        <is>
          <t>Owner</t>
        </is>
      </c>
      <c r="F1" s="3" t="n"/>
      <c r="G1" s="3" t="inlineStr">
        <is>
          <t>Priority</t>
        </is>
      </c>
      <c r="H1" s="3" t="inlineStr">
        <is>
          <t>Status</t>
        </is>
      </c>
      <c r="I1" s="3" t="inlineStr">
        <is>
          <t>Target</t>
        </is>
      </c>
      <c r="J1" s="3" t="inlineStr">
        <is>
          <t>What Needs To Be Done</t>
        </is>
      </c>
      <c r="K1" s="3" t="inlineStr">
        <is>
          <t>Dependencies / Inputs</t>
        </is>
      </c>
    </row>
    <row r="2">
      <c r="A2" s="6" t="inlineStr">
        <is>
          <t>P0-01</t>
        </is>
      </c>
      <c r="B2" s="6" t="inlineStr">
        <is>
          <t>Phase 0</t>
        </is>
      </c>
      <c r="C2" s="6" t="inlineStr">
        <is>
          <t>Requirements</t>
        </is>
      </c>
      <c r="D2" s="6" t="inlineStr">
        <is>
          <t>Receive completed Phase 0 requirements form</t>
        </is>
      </c>
      <c r="E2" s="6" t="inlineStr">
        <is>
          <t>Nash</t>
        </is>
      </c>
      <c r="F2" s="4" t="n"/>
      <c r="G2" s="6" t="inlineStr">
        <is>
          <t>High</t>
        </is>
      </c>
      <c r="H2" s="6" t="inlineStr">
        <is>
          <t>Done</t>
        </is>
      </c>
      <c r="I2" s="2" t="inlineStr">
        <is>
          <t>Sep 11</t>
        </is>
      </c>
      <c r="J2" s="6" t="inlineStr">
        <is>
          <t>Archive client answers and use them as development basis.</t>
        </is>
      </c>
      <c r="K2" s="6" t="inlineStr">
        <is>
          <t>Client response</t>
        </is>
      </c>
    </row>
    <row r="3">
      <c r="A3" s="6" t="inlineStr">
        <is>
          <t>P0-02</t>
        </is>
      </c>
      <c r="B3" s="6" t="inlineStr">
        <is>
          <t>Phase 0</t>
        </is>
      </c>
      <c r="C3" s="6" t="inlineStr">
        <is>
          <t>Requirements</t>
        </is>
      </c>
      <c r="D3" s="6" t="inlineStr">
        <is>
          <t>Review client answers and identify gaps</t>
        </is>
      </c>
      <c r="E3" s="6" t="inlineStr">
        <is>
          <t>Nash</t>
        </is>
      </c>
      <c r="F3" s="4" t="n"/>
      <c r="G3" s="6" t="inlineStr">
        <is>
          <t>High</t>
        </is>
      </c>
      <c r="H3" s="6" t="inlineStr">
        <is>
          <t>Done</t>
        </is>
      </c>
      <c r="I3" s="2" t="inlineStr">
        <is>
          <t>Sep 14</t>
        </is>
      </c>
      <c r="J3" s="6" t="inlineStr">
        <is>
          <t>Separate confirmed requirements from blockers and pending hardware details.</t>
        </is>
      </c>
      <c r="K3" s="6" t="inlineStr">
        <is>
          <t>P0-01</t>
        </is>
      </c>
    </row>
    <row r="4">
      <c r="A4" s="6" t="inlineStr">
        <is>
          <t>P0-03</t>
        </is>
      </c>
      <c r="B4" s="6" t="inlineStr">
        <is>
          <t>Phase 0</t>
        </is>
      </c>
      <c r="C4" s="6" t="inlineStr">
        <is>
          <t>Hardware Inputs</t>
        </is>
      </c>
      <c r="D4" s="6" t="inlineStr">
        <is>
          <t>Confirm turbidity sensor exact model/link</t>
        </is>
      </c>
      <c r="E4" s="6" t="inlineStr">
        <is>
          <t>Edgar</t>
        </is>
      </c>
      <c r="F4" s="4" t="n"/>
      <c r="G4" s="6" t="inlineStr">
        <is>
          <t>High</t>
        </is>
      </c>
      <c r="H4" s="6" t="inlineStr">
        <is>
          <t>Waiting Client</t>
        </is>
      </c>
      <c r="I4" s="2" t="inlineStr">
        <is>
          <t>Sep 15</t>
        </is>
      </c>
      <c r="J4" s="6" t="inlineStr">
        <is>
          <t>Get exact model, voltage/output type and datasheet.</t>
        </is>
      </c>
      <c r="K4" s="6" t="inlineStr">
        <is>
          <t>Client hardware team</t>
        </is>
      </c>
    </row>
    <row r="5">
      <c r="A5" s="6" t="inlineStr">
        <is>
          <t>P0-04</t>
        </is>
      </c>
      <c r="B5" s="6" t="inlineStr">
        <is>
          <t>Phase 0</t>
        </is>
      </c>
      <c r="C5" s="6" t="inlineStr">
        <is>
          <t>Hardware Inputs</t>
        </is>
      </c>
      <c r="D5" s="6" t="inlineStr">
        <is>
          <t>Confirm pump, UV-C, relay and power specifications</t>
        </is>
      </c>
      <c r="E5" s="6" t="inlineStr">
        <is>
          <t>Edgar</t>
        </is>
      </c>
      <c r="F5" s="4" t="n"/>
      <c r="G5" s="6" t="inlineStr">
        <is>
          <t>High</t>
        </is>
      </c>
      <c r="H5" s="6" t="inlineStr">
        <is>
          <t>Waiting Client</t>
        </is>
      </c>
      <c r="I5" s="2" t="inlineStr">
        <is>
          <t>Sep 15</t>
        </is>
      </c>
      <c r="J5" s="6" t="inlineStr">
        <is>
          <t>Collect model, voltage, current, relay type and power supply details.</t>
        </is>
      </c>
      <c r="K5" s="6" t="inlineStr">
        <is>
          <t>Client hardware team</t>
        </is>
      </c>
    </row>
    <row r="6">
      <c r="A6" s="6" t="inlineStr">
        <is>
          <t>P0-05</t>
        </is>
      </c>
      <c r="B6" s="6" t="inlineStr">
        <is>
          <t>Phase 0</t>
        </is>
      </c>
      <c r="C6" s="6" t="inlineStr">
        <is>
          <t>Control Rules</t>
        </is>
      </c>
      <c r="D6" s="6" t="inlineStr">
        <is>
          <t>Confirm whether pump and UV-C are controlled or only monitored</t>
        </is>
      </c>
      <c r="E6" s="6" t="inlineStr">
        <is>
          <t>Nash</t>
        </is>
      </c>
      <c r="F6" s="4" t="n"/>
      <c r="G6" s="6" t="inlineStr">
        <is>
          <t>Critical</t>
        </is>
      </c>
      <c r="H6" s="6" t="inlineStr">
        <is>
          <t>Waiting Client</t>
        </is>
      </c>
      <c r="I6" s="2" t="inlineStr">
        <is>
          <t>Sep 15</t>
        </is>
      </c>
      <c r="J6" s="6" t="inlineStr">
        <is>
          <t>Get explicit yes/no control matrix for pump and UV-C.</t>
        </is>
      </c>
      <c r="K6" s="6" t="inlineStr">
        <is>
          <t>Client/adviser decision</t>
        </is>
      </c>
    </row>
    <row r="7">
      <c r="A7" s="6" t="inlineStr">
        <is>
          <t>P0-06</t>
        </is>
      </c>
      <c r="B7" s="6" t="inlineStr">
        <is>
          <t>Phase 0</t>
        </is>
      </c>
      <c r="C7" s="6" t="inlineStr">
        <is>
          <t>Thresholds</t>
        </is>
      </c>
      <c r="D7" s="6" t="inlineStr">
        <is>
          <t>Obtain approved alert thresholds</t>
        </is>
      </c>
      <c r="E7" s="6" t="inlineStr">
        <is>
          <t>Nash</t>
        </is>
      </c>
      <c r="F7" s="4" t="n"/>
      <c r="G7" s="6" t="inlineStr">
        <is>
          <t>High</t>
        </is>
      </c>
      <c r="H7" s="6" t="inlineStr">
        <is>
          <t>Waiting Client</t>
        </is>
      </c>
      <c r="I7" s="6" t="n"/>
      <c r="J7" s="6" t="inlineStr">
        <is>
          <t>Obtain adviser/research-team approved numerical pH, turbidity, TDS, temperature and flow alert thresholds. Frontend keeps them unconfigured until approved.</t>
        </is>
      </c>
      <c r="K7" s="6" t="inlineStr">
        <is>
          <t>Research adviser/lab criteria</t>
        </is>
      </c>
    </row>
    <row r="8">
      <c r="A8" s="6" t="inlineStr">
        <is>
          <t>P0-07</t>
        </is>
      </c>
      <c r="B8" s="6" t="inlineStr">
        <is>
          <t>Phase 0</t>
        </is>
      </c>
      <c r="C8" s="6" t="inlineStr">
        <is>
          <t>Data Policy</t>
        </is>
      </c>
      <c r="D8" s="6" t="inlineStr">
        <is>
          <t>Finalize sampling, save interval and cycle rule</t>
        </is>
      </c>
      <c r="E8" s="6" t="inlineStr">
        <is>
          <t>Nash</t>
        </is>
      </c>
      <c r="F8" s="4" t="n"/>
      <c r="G8" s="6" t="inlineStr">
        <is>
          <t>High</t>
        </is>
      </c>
      <c r="H8" s="6" t="inlineStr">
        <is>
          <t>Waiting Client</t>
        </is>
      </c>
      <c r="I8" s="2" t="inlineStr">
        <is>
          <t>Sep 16</t>
        </is>
      </c>
      <c r="J8" s="6" t="inlineStr">
        <is>
          <t>Separate sensor sample rate, database save rate, 1-L target and 1-hour maximum.</t>
        </is>
      </c>
      <c r="K8" s="6" t="inlineStr">
        <is>
          <t>Client/adviser clarification</t>
        </is>
      </c>
    </row>
    <row r="9">
      <c r="A9" s="6" t="inlineStr">
        <is>
          <t>P1-01</t>
        </is>
      </c>
      <c r="B9" s="6" t="inlineStr">
        <is>
          <t>Phase 1</t>
        </is>
      </c>
      <c r="C9" s="6" t="inlineStr">
        <is>
          <t>Repository</t>
        </is>
      </c>
      <c r="D9" s="6" t="inlineStr">
        <is>
          <t>Create GitHub repository and folder structure</t>
        </is>
      </c>
      <c r="E9" s="6" t="inlineStr">
        <is>
          <t>Nash</t>
        </is>
      </c>
      <c r="F9" s="4" t="n"/>
      <c r="G9" s="6" t="inlineStr">
        <is>
          <t>High</t>
        </is>
      </c>
      <c r="H9" s="6" t="inlineStr">
        <is>
          <t>Done</t>
        </is>
      </c>
      <c r="I9" s="2" t="inlineStr">
        <is>
          <t>Sep 15</t>
        </is>
      </c>
      <c r="J9" s="6" t="inlineStr">
        <is>
          <t>Create frontend, backend, firmware, database, simulator and docs folders; add README, .gitignore and .env.example.</t>
        </is>
      </c>
      <c r="K9" s="6" t="inlineStr">
        <is>
          <t>Tech stack frozen</t>
        </is>
      </c>
    </row>
    <row r="10">
      <c r="A10" s="6" t="inlineStr">
        <is>
          <t>P1-02</t>
        </is>
      </c>
      <c r="B10" s="6" t="inlineStr">
        <is>
          <t>Phase 1</t>
        </is>
      </c>
      <c r="C10" s="6" t="inlineStr">
        <is>
          <t>Architecture</t>
        </is>
      </c>
      <c r="D10" s="6" t="inlineStr">
        <is>
          <t>Write architecture and API contract v1</t>
        </is>
      </c>
      <c r="E10" s="6" t="inlineStr">
        <is>
          <t>Nash</t>
        </is>
      </c>
      <c r="F10" s="4" t="n"/>
      <c r="G10" s="6" t="inlineStr">
        <is>
          <t>High</t>
        </is>
      </c>
      <c r="H10" s="6" t="inlineStr">
        <is>
          <t>In Progress</t>
        </is>
      </c>
      <c r="I10" s="6" t="n"/>
      <c r="J10" s="6" t="inlineStr">
        <is>
          <t>Architecture documentation is drafted. Finalize domain endpoint paths, request/response payloads, error format, pagination/filter conventions and shared telemetry contract.</t>
        </is>
      </c>
      <c r="K10" s="6" t="inlineStr">
        <is>
          <t>P0-05, P0-07</t>
        </is>
      </c>
    </row>
    <row r="11">
      <c r="A11" s="6" t="inlineStr">
        <is>
          <t>P1-03</t>
        </is>
      </c>
      <c r="B11" s="6" t="inlineStr">
        <is>
          <t>Phase 1</t>
        </is>
      </c>
      <c r="C11" s="6" t="inlineStr">
        <is>
          <t>Dev Environment</t>
        </is>
      </c>
      <c r="D11" s="6" t="inlineStr">
        <is>
          <t>Set up local development environments</t>
        </is>
      </c>
      <c r="E11" s="6" t="inlineStr">
        <is>
          <t>Nash</t>
        </is>
      </c>
      <c r="F11" s="4" t="n"/>
      <c r="G11" s="6" t="inlineStr">
        <is>
          <t>High</t>
        </is>
      </c>
      <c r="H11" s="6" t="inlineStr">
        <is>
          <t>Done</t>
        </is>
      </c>
      <c r="I11" s="2" t="inlineStr">
        <is>
          <t>Sep 16</t>
        </is>
      </c>
      <c r="J11" s="6" t="inlineStr">
        <is>
          <t>Install Node, VS Code, Git, PlatformIO; define branch and formatting rules.</t>
        </is>
      </c>
      <c r="K11" s="6" t="inlineStr">
        <is>
          <t>P1-01</t>
        </is>
      </c>
    </row>
    <row r="12">
      <c r="A12" s="9" t="inlineStr">
        <is>
          <t>P1-04</t>
        </is>
      </c>
      <c r="B12" s="9" t="inlineStr">
        <is>
          <t>Phase 1</t>
        </is>
      </c>
      <c r="C12" s="9" t="inlineStr">
        <is>
          <t>Database</t>
        </is>
      </c>
      <c r="D12" s="9" t="inlineStr">
        <is>
          <t>Create Supabase project and environment config</t>
        </is>
      </c>
      <c r="E12" s="9" t="inlineStr">
        <is>
          <t>Alejandro</t>
        </is>
      </c>
      <c r="F12" s="10" t="n"/>
      <c r="G12" s="9" t="inlineStr">
        <is>
          <t>High</t>
        </is>
      </c>
      <c r="H12" s="9" t="inlineStr">
        <is>
          <t>Done</t>
        </is>
      </c>
      <c r="I12" s="11" t="inlineStr">
        <is>
          <t>Sep 16</t>
        </is>
      </c>
      <c r="J12" s="9" t="inlineStr">
        <is>
          <t>Create project, secure keys, .env setup and access rules. Local Supabase dev stack running via Docker (npx supabase start / db reset); backend/.env + .env.example configured with service-role/anon keys. Hosted/production Supabase project still pending — see P8-01. Commit f4b9ce9 on feature/backend-init.</t>
        </is>
      </c>
      <c r="K12" s="9" t="inlineStr">
        <is>
          <t>P1-01</t>
        </is>
      </c>
    </row>
    <row r="13">
      <c r="A13" s="9" t="inlineStr">
        <is>
          <t>P1-05</t>
        </is>
      </c>
      <c r="B13" s="9" t="inlineStr">
        <is>
          <t>Phase 1</t>
        </is>
      </c>
      <c r="C13" s="9" t="inlineStr">
        <is>
          <t>Simulator</t>
        </is>
      </c>
      <c r="D13" s="9" t="inlineStr">
        <is>
          <t>Create simulated pre/post sensor generator</t>
        </is>
      </c>
      <c r="E13" s="9" t="inlineStr">
        <is>
          <t>Alejandro</t>
        </is>
      </c>
      <c r="F13" s="10" t="n"/>
      <c r="G13" s="9" t="inlineStr">
        <is>
          <t>High</t>
        </is>
      </c>
      <c r="H13" s="9" t="inlineStr">
        <is>
          <t>In Progress</t>
        </is>
      </c>
      <c r="I13" s="11" t="inlineStr">
        <is>
          <t>Sep 18</t>
        </is>
      </c>
      <c r="J13" s="9" t="inlineStr">
        <is>
          <t>Generate fake pre/post pH, turbidity, TDS, temperature, flow and status payloads. backend/scripts/seedTestData.ts generates 5 simulated pre/post reading cycles per test run directly into sensor_readings (pH, turbidity, TDS, temperature, flow rate) for local testing — see docs/API_REFERENCE.md. This seeds the DB directly rather than acting as a live device posting over HTTP; a continuous HTTP-based simulator still depends on the ingestion endpoint in P2-02. Commit 598f0e1 on feature/backend-init.</t>
        </is>
      </c>
      <c r="K13" s="9" t="inlineStr">
        <is>
          <t>P1-02</t>
        </is>
      </c>
    </row>
    <row r="14">
      <c r="A14" s="9" t="inlineStr">
        <is>
          <t>P2-01</t>
        </is>
      </c>
      <c r="B14" s="9" t="inlineStr">
        <is>
          <t>Phase 2</t>
        </is>
      </c>
      <c r="C14" s="9" t="inlineStr">
        <is>
          <t>Database</t>
        </is>
      </c>
      <c r="D14" s="9" t="inlineStr">
        <is>
          <t>Design and create core database schema</t>
        </is>
      </c>
      <c r="E14" s="9" t="inlineStr">
        <is>
          <t>Alejandro</t>
        </is>
      </c>
      <c r="F14" s="10" t="n"/>
      <c r="G14" s="9" t="inlineStr">
        <is>
          <t>Critical</t>
        </is>
      </c>
      <c r="H14" s="9" t="inlineStr">
        <is>
          <t>Done</t>
        </is>
      </c>
      <c r="I14" s="11" t="inlineStr">
        <is>
          <t>Sep 18</t>
        </is>
      </c>
      <c r="J14" s="9" t="inlineStr">
        <is>
          <t>Create users, devices, telemetry, test_runs, alerts, calibrations, lab_tests and maintenance tables. Implemented via two migrations: devices, sensors, sensor_readings, test_runs, alerts (+alert_state_changes), calibration_records, laboratory_validation_records, profiles (f4b9ce9), plus maintenance_records, maintenance_reminders, app_settings, thresholds, notification_providers, data_retention_policy (598f0e1). Business-rule fields (taxonomies, thresholds) kept free-text/jsonb pending P0-06/P0-07 — see backend/docs/SCHEMA_TBD_LOG.md.</t>
        </is>
      </c>
      <c r="K14" s="9" t="inlineStr">
        <is>
          <t>P1-04, P1-02</t>
        </is>
      </c>
    </row>
    <row r="15">
      <c r="A15" s="9" t="inlineStr">
        <is>
          <t>P2-02</t>
        </is>
      </c>
      <c r="B15" s="9" t="inlineStr">
        <is>
          <t>Phase 2</t>
        </is>
      </c>
      <c r="C15" s="9" t="inlineStr">
        <is>
          <t>Backend API</t>
        </is>
      </c>
      <c r="D15" s="9" t="inlineStr">
        <is>
          <t>Build telemetry ingestion endpoint</t>
        </is>
      </c>
      <c r="E15" s="9" t="inlineStr">
        <is>
          <t>Alejandro</t>
        </is>
      </c>
      <c r="F15" s="10" t="n"/>
      <c r="G15" s="9" t="inlineStr">
        <is>
          <t>Critical</t>
        </is>
      </c>
      <c r="H15" s="9" t="inlineStr">
        <is>
          <t>Done</t>
        </is>
      </c>
      <c r="I15" s="11" t="inlineStr">
        <is>
          <t>Sep 19</t>
        </is>
      </c>
      <c r="J15" s="9" t="inlineStr">
        <is>
          <t>Validate device ID, payload types, timestamps and missing fields; save telemetry. Implemented: POST /devices/:id/readings — batched ingestion, validates each reading's category/position/value against the device's registered sensors rows, skips (not fails) invalid/unregistered entries individually, and bumps devices.last_seen_at/connection_state as a heartbeat. Authenticated via a placeholder X-Device-Key shared secret, not the real device-auth decision (PENDING_DECISIONS §8). See docs/API_REFERENCE.md → Devices. Implemented on feature/backend-init (uncommitted as of this tracker update).</t>
        </is>
      </c>
      <c r="K15" s="9" t="inlineStr">
        <is>
          <t>P2-01</t>
        </is>
      </c>
    </row>
    <row r="16">
      <c r="A16" s="9" t="inlineStr">
        <is>
          <t>P2-03</t>
        </is>
      </c>
      <c r="B16" s="9" t="inlineStr">
        <is>
          <t>Phase 2</t>
        </is>
      </c>
      <c r="C16" s="9" t="inlineStr">
        <is>
          <t>Backend API</t>
        </is>
      </c>
      <c r="D16" s="9" t="inlineStr">
        <is>
          <t>Build latest-status and history endpoints</t>
        </is>
      </c>
      <c r="E16" s="9" t="inlineStr">
        <is>
          <t>Alejandro</t>
        </is>
      </c>
      <c r="F16" s="10" t="n"/>
      <c r="G16" s="9" t="inlineStr">
        <is>
          <t>High</t>
        </is>
      </c>
      <c r="H16" s="9" t="inlineStr">
        <is>
          <t>Done</t>
        </is>
      </c>
      <c r="I16" s="11" t="inlineStr">
        <is>
          <t>Sep 20</t>
        </is>
      </c>
      <c r="J16" s="9" t="inlineStr">
        <is>
          <t>Add latest reading, date filters, history and pagination. Implemented: GET /telemetry (filters: from/to/testRunId/deviceId/parameter/stage, pagination), GET /telemetry/current (latest per sensor), GET /telemetry/chart, GET /telemetry/:id, plus GET /telemetry/stream (SSE) and GET /dashboard/summary. See docs/API_REFERENCE.md. Commit 598f0e1 on feature/backend-init.</t>
        </is>
      </c>
      <c r="K16" s="9" t="inlineStr">
        <is>
          <t>P2-01</t>
        </is>
      </c>
    </row>
    <row r="17">
      <c r="A17" s="9" t="inlineStr">
        <is>
          <t>P2-04</t>
        </is>
      </c>
      <c r="B17" s="9" t="inlineStr">
        <is>
          <t>Phase 2</t>
        </is>
      </c>
      <c r="C17" s="9" t="inlineStr">
        <is>
          <t>Auth</t>
        </is>
      </c>
      <c r="D17" s="9" t="inlineStr">
        <is>
          <t>Implement user authentication and roles</t>
        </is>
      </c>
      <c r="E17" s="9" t="inlineStr">
        <is>
          <t>Alejandro</t>
        </is>
      </c>
      <c r="F17" s="10" t="n"/>
      <c r="G17" s="9" t="inlineStr">
        <is>
          <t>Medium</t>
        </is>
      </c>
      <c r="H17" s="9" t="inlineStr">
        <is>
          <t>In Progress</t>
        </is>
      </c>
      <c r="I17" s="11" t="inlineStr">
        <is>
          <t>Sep 23</t>
        </is>
      </c>
      <c r="J17" s="9" t="inlineStr">
        <is>
          <t>Configure Supabase Auth and backend role checks. Supabase Auth wired end-to-end: POST /auth/login|logout|refresh|password-reset, GET /auth/me, PATCH /users/:id/role. profiles.role auto-provisioned via a DB trigger. Role-based authorization checks are NOT enforced yet — every authenticated user can call every route — pending a roles/permissions decision (docs/PENDING_DECISIONS.md §9). Commit 598f0e1.</t>
        </is>
      </c>
      <c r="K17" s="9" t="inlineStr">
        <is>
          <t>P2-01</t>
        </is>
      </c>
    </row>
    <row r="18">
      <c r="A18" s="9" t="inlineStr">
        <is>
          <t>P2-05</t>
        </is>
      </c>
      <c r="B18" s="9" t="inlineStr">
        <is>
          <t>Phase 2</t>
        </is>
      </c>
      <c r="C18" s="9" t="inlineStr">
        <is>
          <t>Alerts</t>
        </is>
      </c>
      <c r="D18" s="9" t="inlineStr">
        <is>
          <t>Implement alert/event storage logic</t>
        </is>
      </c>
      <c r="E18" s="9" t="inlineStr">
        <is>
          <t>Alejandro</t>
        </is>
      </c>
      <c r="F18" s="10" t="n"/>
      <c r="G18" s="9" t="inlineStr">
        <is>
          <t>High</t>
        </is>
      </c>
      <c r="H18" s="9" t="inlineStr">
        <is>
          <t>In Progress</t>
        </is>
      </c>
      <c r="I18" s="11" t="inlineStr">
        <is>
          <t>Sep 24</t>
        </is>
      </c>
      <c r="J18" s="9" t="inlineStr">
        <is>
          <t>Support sensor, offline, no-flow, pump, UV-C, filter and water-quality alert categories. Storage/API implemented: alerts table (+source/title/message), GET /alerts, GET /alerts/:id, PATCH acknowledge/resolve, GET /alerts/stream (SSE), alert_state_changes audit trail. No automatic alert-GENERATION logic yet — nothing evaluates sensor readings/device faults into alert rows — blocked on P0-06 thresholds and P0-05 control-authority decisions. Commit 598f0e1.</t>
        </is>
      </c>
      <c r="K18" s="9" t="inlineStr">
        <is>
          <t>P0-06, P2-01</t>
        </is>
      </c>
    </row>
    <row r="19">
      <c r="A19" s="9" t="inlineStr">
        <is>
          <t>P2-06</t>
        </is>
      </c>
      <c r="B19" s="9" t="inlineStr">
        <is>
          <t>Phase 2</t>
        </is>
      </c>
      <c r="C19" s="9" t="inlineStr">
        <is>
          <t>Exports</t>
        </is>
      </c>
      <c r="D19" s="9" t="inlineStr">
        <is>
          <t>Implement CSV export</t>
        </is>
      </c>
      <c r="E19" s="9" t="inlineStr">
        <is>
          <t>Alejandro</t>
        </is>
      </c>
      <c r="F19" s="10" t="n"/>
      <c r="G19" s="9" t="inlineStr">
        <is>
          <t>Medium</t>
        </is>
      </c>
      <c r="H19" s="9" t="inlineStr">
        <is>
          <t>Not Started</t>
        </is>
      </c>
      <c r="I19" s="11" t="inlineStr">
        <is>
          <t>Sep 25</t>
        </is>
      </c>
      <c r="J19" s="9" t="inlineStr">
        <is>
          <t>Export telemetry, test runs and comparison data with date filters. Not started. Candidate endpoint: GET /export/csv per docs/API_ROUTES_DRAFT.md §8; column set/order still TBD (PENDING_DECISIONS §12). Tracked in docs/tracker/todo.md.</t>
        </is>
      </c>
      <c r="K19" s="9" t="inlineStr">
        <is>
          <t>P2-03</t>
        </is>
      </c>
    </row>
    <row r="20">
      <c r="A20" s="6" t="inlineStr">
        <is>
          <t>P3-01</t>
        </is>
      </c>
      <c r="B20" s="6" t="inlineStr">
        <is>
          <t>Phase 3</t>
        </is>
      </c>
      <c r="C20" s="6" t="inlineStr">
        <is>
          <t>Frontend</t>
        </is>
      </c>
      <c r="D20" s="6" t="inlineStr">
        <is>
          <t>Create React + TypeScript + Vite frontend</t>
        </is>
      </c>
      <c r="E20" s="6" t="inlineStr">
        <is>
          <t>Nash</t>
        </is>
      </c>
      <c r="F20" s="4" t="n"/>
      <c r="G20" s="6" t="inlineStr">
        <is>
          <t>Critical</t>
        </is>
      </c>
      <c r="H20" s="6" t="inlineStr">
        <is>
          <t>Done</t>
        </is>
      </c>
      <c r="I20" s="2" t="inlineStr">
        <is>
          <t>Sep 16</t>
        </is>
      </c>
      <c r="J20" s="6" t="inlineStr">
        <is>
          <t>React + TypeScript + Vite + Tailwind frontend completed with routing, responsive shell, typed service boundaries, mock adapters, CSV export and backend-integration-ready API client. Committed locally as 0a28ed012707b57c9dc10d5ce908bf8b0621aa54 — feat(frontend): build integration-ready application UI. Commit includes 79 approved files across frontend/, docs/ui/, README.md and docs/DEVELOPMENT.md; frontend/.gitkeep removed. Audit clean; no secrets or prohibited files.</t>
        </is>
      </c>
      <c r="K20" s="6" t="inlineStr">
        <is>
          <t>P1-01</t>
        </is>
      </c>
    </row>
    <row r="21">
      <c r="A21" s="6" t="inlineStr">
        <is>
          <t>P3-02</t>
        </is>
      </c>
      <c r="B21" s="6" t="inlineStr">
        <is>
          <t>Phase 3</t>
        </is>
      </c>
      <c r="C21" s="6" t="inlineStr">
        <is>
          <t>Dashboard</t>
        </is>
      </c>
      <c r="D21" s="6" t="inlineStr">
        <is>
          <t>Build real-time before/after sensor dashboard</t>
        </is>
      </c>
      <c r="E21" s="6" t="inlineStr">
        <is>
          <t>Nash</t>
        </is>
      </c>
      <c r="F21" s="4" t="n"/>
      <c r="G21" s="6" t="inlineStr">
        <is>
          <t>Critical</t>
        </is>
      </c>
      <c r="H21" s="6" t="inlineStr">
        <is>
          <t>Done</t>
        </is>
      </c>
      <c r="I21" s="2" t="inlineStr">
        <is>
          <t>Sep 20</t>
        </is>
      </c>
      <c r="J21" s="6" t="inlineStr">
        <is>
          <t>Show 5 pre/post parameters, total volume, device status and last update using simulator first.</t>
        </is>
      </c>
      <c r="K21" s="6" t="inlineStr">
        <is>
          <t>P1-05 or P2-02</t>
        </is>
      </c>
    </row>
    <row r="22">
      <c r="A22" s="6" t="inlineStr">
        <is>
          <t>P3-03</t>
        </is>
      </c>
      <c r="B22" s="6" t="inlineStr">
        <is>
          <t>Phase 3</t>
        </is>
      </c>
      <c r="C22" s="6" t="inlineStr">
        <is>
          <t>Dashboard</t>
        </is>
      </c>
      <c r="D22" s="6" t="inlineStr">
        <is>
          <t>Build live water-route/status visualization</t>
        </is>
      </c>
      <c r="E22" s="6" t="inlineStr">
        <is>
          <t>Nash</t>
        </is>
      </c>
      <c r="F22" s="4" t="n"/>
      <c r="G22" s="6" t="inlineStr">
        <is>
          <t>High</t>
        </is>
      </c>
      <c r="H22" s="6" t="inlineStr">
        <is>
          <t>Done</t>
        </is>
      </c>
      <c r="I22" s="2" t="inlineStr">
        <is>
          <t>Sep 21</t>
        </is>
      </c>
      <c r="J22" s="6" t="inlineStr">
        <is>
          <t>Visualize Source → Pump → Pre Sensors → UF → UV-C → Post Sensors → Output with on/off/error states.</t>
        </is>
      </c>
      <c r="K22" s="6" t="inlineStr">
        <is>
          <t>P3-02</t>
        </is>
      </c>
    </row>
    <row r="23">
      <c r="A23" s="6" t="inlineStr">
        <is>
          <t>P3-04</t>
        </is>
      </c>
      <c r="B23" s="6" t="inlineStr">
        <is>
          <t>Phase 3</t>
        </is>
      </c>
      <c r="C23" s="6" t="inlineStr">
        <is>
          <t>History</t>
        </is>
      </c>
      <c r="D23" s="6" t="inlineStr">
        <is>
          <t>Build historical charts and data table</t>
        </is>
      </c>
      <c r="E23" s="6" t="inlineStr">
        <is>
          <t>Nash</t>
        </is>
      </c>
      <c r="F23" s="4" t="n"/>
      <c r="G23" s="6" t="inlineStr">
        <is>
          <t>High</t>
        </is>
      </c>
      <c r="H23" s="6" t="inlineStr">
        <is>
          <t>Done</t>
        </is>
      </c>
      <c r="I23" s="2" t="inlineStr">
        <is>
          <t>Sep 23</t>
        </is>
      </c>
      <c r="J23" s="6" t="inlineStr">
        <is>
          <t>Create pre/post charts, units, date filters and raw table.</t>
        </is>
      </c>
      <c r="K23" s="6" t="inlineStr">
        <is>
          <t>P2-03</t>
        </is>
      </c>
    </row>
    <row r="24">
      <c r="A24" s="6" t="inlineStr">
        <is>
          <t>P3-05</t>
        </is>
      </c>
      <c r="B24" s="6" t="inlineStr">
        <is>
          <t>Phase 3</t>
        </is>
      </c>
      <c r="C24" s="6" t="inlineStr">
        <is>
          <t>Alerts UI</t>
        </is>
      </c>
      <c r="D24" s="6" t="inlineStr">
        <is>
          <t>Build alerts and diagnostics page</t>
        </is>
      </c>
      <c r="E24" s="6" t="inlineStr">
        <is>
          <t>Nash</t>
        </is>
      </c>
      <c r="F24" s="4" t="n"/>
      <c r="G24" s="6" t="inlineStr">
        <is>
          <t>High</t>
        </is>
      </c>
      <c r="H24" s="6" t="inlineStr">
        <is>
          <t>Done</t>
        </is>
      </c>
      <c r="I24" s="2" t="inlineStr">
        <is>
          <t>Sep 25</t>
        </is>
      </c>
      <c r="J24" s="6" t="inlineStr">
        <is>
          <t>Show alert type, severity, timestamp, status and diagnostics.</t>
        </is>
      </c>
      <c r="K24" s="6" t="inlineStr">
        <is>
          <t>P2-05</t>
        </is>
      </c>
    </row>
    <row r="25">
      <c r="A25" s="6" t="inlineStr">
        <is>
          <t>P3-06</t>
        </is>
      </c>
      <c r="B25" s="6" t="inlineStr">
        <is>
          <t>Phase 3</t>
        </is>
      </c>
      <c r="C25" s="6" t="inlineStr">
        <is>
          <t>Offline UX</t>
        </is>
      </c>
      <c r="D25" s="6" t="inlineStr">
        <is>
          <t>Implement stale/offline dashboard state</t>
        </is>
      </c>
      <c r="E25" s="6" t="inlineStr">
        <is>
          <t>Nash</t>
        </is>
      </c>
      <c r="F25" s="4" t="n"/>
      <c r="G25" s="6" t="inlineStr">
        <is>
          <t>High</t>
        </is>
      </c>
      <c r="H25" s="6" t="inlineStr">
        <is>
          <t>Done</t>
        </is>
      </c>
      <c r="I25" s="2" t="inlineStr">
        <is>
          <t>Sep 24</t>
        </is>
      </c>
      <c r="J25" s="6" t="inlineStr">
        <is>
          <t>Freeze last values and show clear offline/stale warning plus timestamp.</t>
        </is>
      </c>
      <c r="K25" s="6" t="inlineStr">
        <is>
          <t>P2-03</t>
        </is>
      </c>
    </row>
    <row r="26">
      <c r="A26" s="6" t="inlineStr">
        <is>
          <t>P4-01</t>
        </is>
      </c>
      <c r="B26" s="6" t="inlineStr">
        <is>
          <t>Phase 4</t>
        </is>
      </c>
      <c r="C26" s="6" t="inlineStr">
        <is>
          <t>Test Runs</t>
        </is>
      </c>
      <c r="D26" s="6" t="inlineStr">
        <is>
          <t>Build experiment/test-run workflow</t>
        </is>
      </c>
      <c r="E26" s="6" t="inlineStr">
        <is>
          <t>Nash</t>
        </is>
      </c>
      <c r="F26" s="4" t="n"/>
      <c r="G26" s="6" t="inlineStr">
        <is>
          <t>High</t>
        </is>
      </c>
      <c r="H26" s="6" t="inlineStr">
        <is>
          <t>Done</t>
        </is>
      </c>
      <c r="I26" s="2" t="inlineStr">
        <is>
          <t>Sep 26</t>
        </is>
      </c>
      <c r="J26" s="6" t="inlineStr">
        <is>
          <t>Create/start/end test run, sample ID and notes; link telemetry.</t>
        </is>
      </c>
      <c r="K26" s="6" t="inlineStr">
        <is>
          <t>P2-01</t>
        </is>
      </c>
    </row>
    <row r="27">
      <c r="A27" s="6" t="inlineStr">
        <is>
          <t>P4-02</t>
        </is>
      </c>
      <c r="B27" s="6" t="inlineStr">
        <is>
          <t>Phase 4</t>
        </is>
      </c>
      <c r="C27" s="6" t="inlineStr">
        <is>
          <t>Calibration</t>
        </is>
      </c>
      <c r="D27" s="6" t="inlineStr">
        <is>
          <t>Build calibration record page</t>
        </is>
      </c>
      <c r="E27" s="6" t="inlineStr">
        <is>
          <t>Nash</t>
        </is>
      </c>
      <c r="F27" s="4" t="n"/>
      <c r="G27" s="6" t="inlineStr">
        <is>
          <t>Medium</t>
        </is>
      </c>
      <c r="H27" s="6" t="inlineStr">
        <is>
          <t>Done</t>
        </is>
      </c>
      <c r="I27" s="2" t="inlineStr">
        <is>
          <t>Sep 27</t>
        </is>
      </c>
      <c r="J27" s="6" t="inlineStr">
        <is>
          <t>Save calibration date, sensor, raw/reference values, factor/offset and notes.</t>
        </is>
      </c>
      <c r="K27" s="6" t="inlineStr">
        <is>
          <t>Sensor calibration procedure</t>
        </is>
      </c>
    </row>
    <row r="28">
      <c r="A28" s="6" t="inlineStr">
        <is>
          <t>P4-03</t>
        </is>
      </c>
      <c r="B28" s="6" t="inlineStr">
        <is>
          <t>Phase 4</t>
        </is>
      </c>
      <c r="C28" s="6" t="inlineStr">
        <is>
          <t>Lab Validation</t>
        </is>
      </c>
      <c r="D28" s="6" t="inlineStr">
        <is>
          <t>Build laboratory validation records</t>
        </is>
      </c>
      <c r="E28" s="6" t="inlineStr">
        <is>
          <t>Nash</t>
        </is>
      </c>
      <c r="F28" s="4" t="n"/>
      <c r="G28" s="6" t="inlineStr">
        <is>
          <t>High</t>
        </is>
      </c>
      <c r="H28" s="6" t="inlineStr">
        <is>
          <t>Done</t>
        </is>
      </c>
      <c r="I28" s="2" t="inlineStr">
        <is>
          <t>Sep 28</t>
        </is>
      </c>
      <c r="J28" s="6" t="inlineStr">
        <is>
          <t>Record before/after lab results, sample ID, date and reference number.</t>
        </is>
      </c>
      <c r="K28" s="6" t="inlineStr">
        <is>
          <t>P2-01</t>
        </is>
      </c>
    </row>
    <row r="29">
      <c r="A29" s="6" t="inlineStr">
        <is>
          <t>P4-04</t>
        </is>
      </c>
      <c r="B29" s="6" t="inlineStr">
        <is>
          <t>Phase 4</t>
        </is>
      </c>
      <c r="C29" s="6" t="inlineStr">
        <is>
          <t>Research Analysis</t>
        </is>
      </c>
      <c r="D29" s="6" t="inlineStr">
        <is>
          <t>Build sensor-vs-lab comparison and percentage error</t>
        </is>
      </c>
      <c r="E29" s="6" t="inlineStr">
        <is>
          <t>Nash</t>
        </is>
      </c>
      <c r="F29" s="4" t="n"/>
      <c r="G29" s="6" t="inlineStr">
        <is>
          <t>High</t>
        </is>
      </c>
      <c r="H29" s="6" t="inlineStr">
        <is>
          <t>Done</t>
        </is>
      </c>
      <c r="I29" s="2" t="inlineStr">
        <is>
          <t>Sep 30</t>
        </is>
      </c>
      <c r="J29" s="6" t="inlineStr">
        <is>
          <t>Create comparison table and safe percentage-error calculation.</t>
        </is>
      </c>
      <c r="K29" s="6" t="inlineStr">
        <is>
          <t>P4-03</t>
        </is>
      </c>
    </row>
    <row r="30">
      <c r="A30" s="6" t="inlineStr">
        <is>
          <t>P3-07</t>
        </is>
      </c>
      <c r="B30" s="6" t="inlineStr">
        <is>
          <t>Phase 3</t>
        </is>
      </c>
      <c r="C30" s="6" t="inlineStr">
        <is>
          <t>UI/UX</t>
        </is>
      </c>
      <c r="D30" s="6" t="inlineStr">
        <is>
          <t>Complete and approve 8-screen UI/UX design package</t>
        </is>
      </c>
      <c r="E30" s="6" t="inlineStr">
        <is>
          <t>Nash</t>
        </is>
      </c>
      <c r="F30" s="4" t="n"/>
      <c r="G30" s="6" t="inlineStr">
        <is>
          <t>High</t>
        </is>
      </c>
      <c r="H30" s="6" t="inlineStr">
        <is>
          <t>Done</t>
        </is>
      </c>
      <c r="I30" s="2" t="inlineStr">
        <is>
          <t>Sep 15</t>
        </is>
      </c>
      <c r="J30" s="6" t="inlineStr">
        <is>
          <t>Approved Dashboard, History, Alerts, Test Runs, Calibration, Laboratory Validation, Maintenance and Settings; clean references stored under docs/ui/approved.</t>
        </is>
      </c>
      <c r="K30" s="6" t="inlineStr">
        <is>
          <t>Client requirements / approved Stitch references</t>
        </is>
      </c>
    </row>
    <row r="31">
      <c r="A31" s="6" t="inlineStr">
        <is>
          <t>P3-08</t>
        </is>
      </c>
      <c r="B31" s="6" t="inlineStr">
        <is>
          <t>Phase 3</t>
        </is>
      </c>
      <c r="C31" s="6" t="inlineStr">
        <is>
          <t>Frontend Integration</t>
        </is>
      </c>
      <c r="D31" s="6" t="inlineStr">
        <is>
          <t>Prepare frontend service layer for backend integration</t>
        </is>
      </c>
      <c r="E31" s="6" t="inlineStr">
        <is>
          <t>Nash</t>
        </is>
      </c>
      <c r="F31" s="4" t="n"/>
      <c r="G31" s="6" t="inlineStr">
        <is>
          <t>Critical</t>
        </is>
      </c>
      <c r="H31" s="6" t="inlineStr">
        <is>
          <t>Done</t>
        </is>
      </c>
      <c r="I31" s="2" t="inlineStr">
        <is>
          <t>Sep 15</t>
        </is>
      </c>
      <c r="J31" s="6" t="inlineStr">
        <is>
          <t>Centralized typed API client via VITE_API_BASE_URL; domain services, mock adapters, resource states and mutation boundaries prepared without inventing unapproved backend routes. Included in frontend commit 0a28ed012707b57c9dc10d5ce908bf8b0621aa54 on feature/frontend-foundation. Working tree clean; no uncommitted files. Push/merge not yet performed.</t>
        </is>
      </c>
      <c r="K31" s="6" t="inlineStr">
        <is>
          <t>P3-01, docs/API_CONTRACT.md</t>
        </is>
      </c>
    </row>
    <row r="32">
      <c r="A32" s="6" t="inlineStr">
        <is>
          <t>P4-05</t>
        </is>
      </c>
      <c r="B32" s="6" t="inlineStr">
        <is>
          <t>Phase 4</t>
        </is>
      </c>
      <c r="C32" s="6" t="inlineStr">
        <is>
          <t>Maintenance / Settings</t>
        </is>
      </c>
      <c r="D32" s="6" t="inlineStr">
        <is>
          <t>Build Maintenance and Settings frontend modules</t>
        </is>
      </c>
      <c r="E32" s="6" t="inlineStr">
        <is>
          <t>Nash</t>
        </is>
      </c>
      <c r="F32" s="4" t="n"/>
      <c r="G32" s="6" t="inlineStr">
        <is>
          <t>Medium</t>
        </is>
      </c>
      <c r="H32" s="6" t="inlineStr">
        <is>
          <t>Done</t>
        </is>
      </c>
      <c r="I32" s="2" t="inlineStr">
        <is>
          <t>Sep 15</t>
        </is>
      </c>
      <c r="J32" s="6" t="inlineStr">
        <is>
          <t>Implemented maintenance records/reminders plus software configuration/access-management UI; no unconfirmed hardware-control behavior was added.</t>
        </is>
      </c>
      <c r="K32" s="6" t="inlineStr">
        <is>
          <t>Approved UI references</t>
        </is>
      </c>
    </row>
    <row r="33">
      <c r="A33" s="6" t="inlineStr">
        <is>
          <t>P5-01</t>
        </is>
      </c>
      <c r="B33" s="6" t="inlineStr">
        <is>
          <t>Phase 5</t>
        </is>
      </c>
      <c r="C33" s="6" t="inlineStr">
        <is>
          <t>Firmware</t>
        </is>
      </c>
      <c r="D33" s="6" t="inlineStr">
        <is>
          <t>Create PlatformIO ESP32-WROOM-32 firmware project</t>
        </is>
      </c>
      <c r="E33" s="6" t="inlineStr">
        <is>
          <t>Edgar</t>
        </is>
      </c>
      <c r="F33" s="4" t="n"/>
      <c r="G33" s="6" t="inlineStr">
        <is>
          <t>Critical</t>
        </is>
      </c>
      <c r="H33" s="6" t="inlineStr">
        <is>
          <t>Not Started</t>
        </is>
      </c>
      <c r="I33" s="2" t="inlineStr">
        <is>
          <t>Sep 17</t>
        </is>
      </c>
      <c r="J33" s="6" t="inlineStr">
        <is>
          <t>Create modular firmware structure, config handling, Wi-Fi state and serial logging.</t>
        </is>
      </c>
      <c r="K33" s="6" t="inlineStr">
        <is>
          <t>P1-01</t>
        </is>
      </c>
    </row>
    <row r="34">
      <c r="A34" s="6" t="inlineStr">
        <is>
          <t>P5-02</t>
        </is>
      </c>
      <c r="B34" s="6" t="inlineStr">
        <is>
          <t>Phase 5</t>
        </is>
      </c>
      <c r="C34" s="6" t="inlineStr">
        <is>
          <t>Sensor Drivers</t>
        </is>
      </c>
      <c r="D34" s="6" t="inlineStr">
        <is>
          <t>Integrate PH-4502C pair</t>
        </is>
      </c>
      <c r="E34" s="6" t="inlineStr">
        <is>
          <t>Edgar</t>
        </is>
      </c>
      <c r="F34" s="4" t="n"/>
      <c r="G34" s="6" t="inlineStr">
        <is>
          <t>High</t>
        </is>
      </c>
      <c r="H34" s="6" t="inlineStr">
        <is>
          <t>Not Started</t>
        </is>
      </c>
      <c r="I34" s="2" t="inlineStr">
        <is>
          <t>Sep 21</t>
        </is>
      </c>
      <c r="J34" s="6" t="inlineStr">
        <is>
          <t>Test each pH channel, raw ADC and calibrated values; document pins.</t>
        </is>
      </c>
      <c r="K34" s="6" t="inlineStr">
        <is>
          <t>Final pin map</t>
        </is>
      </c>
    </row>
    <row r="35">
      <c r="A35" s="6" t="inlineStr">
        <is>
          <t>P5-03</t>
        </is>
      </c>
      <c r="B35" s="6" t="inlineStr">
        <is>
          <t>Phase 5</t>
        </is>
      </c>
      <c r="C35" s="6" t="inlineStr">
        <is>
          <t>Sensor Drivers</t>
        </is>
      </c>
      <c r="D35" s="6" t="inlineStr">
        <is>
          <t>Integrate DFRobot TDS pair</t>
        </is>
      </c>
      <c r="E35" s="6" t="inlineStr">
        <is>
          <t>Edgar</t>
        </is>
      </c>
      <c r="F35" s="4" t="n"/>
      <c r="G35" s="6" t="inlineStr">
        <is>
          <t>High</t>
        </is>
      </c>
      <c r="H35" s="6" t="inlineStr">
        <is>
          <t>Not Started</t>
        </is>
      </c>
      <c r="I35" s="2" t="inlineStr">
        <is>
          <t>Sep 22</t>
        </is>
      </c>
      <c r="J35" s="6" t="inlineStr">
        <is>
          <t>Implement two channels, calibration and raw/converted logging.</t>
        </is>
      </c>
      <c r="K35" s="6" t="inlineStr">
        <is>
          <t>Final pin map</t>
        </is>
      </c>
    </row>
    <row r="36">
      <c r="A36" s="6" t="inlineStr">
        <is>
          <t>P5-04</t>
        </is>
      </c>
      <c r="B36" s="6" t="inlineStr">
        <is>
          <t>Phase 5</t>
        </is>
      </c>
      <c r="C36" s="6" t="inlineStr">
        <is>
          <t>Sensor Drivers</t>
        </is>
      </c>
      <c r="D36" s="6" t="inlineStr">
        <is>
          <t>Integrate DS18B20 pair</t>
        </is>
      </c>
      <c r="E36" s="6" t="inlineStr">
        <is>
          <t>Edgar</t>
        </is>
      </c>
      <c r="F36" s="4" t="n"/>
      <c r="G36" s="6" t="inlineStr">
        <is>
          <t>High</t>
        </is>
      </c>
      <c r="H36" s="6" t="inlineStr">
        <is>
          <t>Not Started</t>
        </is>
      </c>
      <c r="I36" s="2" t="inlineStr">
        <is>
          <t>Sep 21</t>
        </is>
      </c>
      <c r="J36" s="6" t="inlineStr">
        <is>
          <t>Identify both OneWire addresses and implement error handling.</t>
        </is>
      </c>
      <c r="K36" s="6" t="inlineStr">
        <is>
          <t>Final pin map</t>
        </is>
      </c>
    </row>
    <row r="37">
      <c r="A37" s="6" t="inlineStr">
        <is>
          <t>P5-05</t>
        </is>
      </c>
      <c r="B37" s="6" t="inlineStr">
        <is>
          <t>Phase 5</t>
        </is>
      </c>
      <c r="C37" s="6" t="inlineStr">
        <is>
          <t>Sensor Drivers</t>
        </is>
      </c>
      <c r="D37" s="6" t="inlineStr">
        <is>
          <t>Integrate ZJ-S201C flow pair</t>
        </is>
      </c>
      <c r="E37" s="6" t="inlineStr">
        <is>
          <t>Edgar</t>
        </is>
      </c>
      <c r="F37" s="4" t="n"/>
      <c r="G37" s="6" t="inlineStr">
        <is>
          <t>High</t>
        </is>
      </c>
      <c r="H37" s="6" t="inlineStr">
        <is>
          <t>Not Started</t>
        </is>
      </c>
      <c r="I37" s="2" t="inlineStr">
        <is>
          <t>Sep 23</t>
        </is>
      </c>
      <c r="J37" s="6" t="inlineStr">
        <is>
          <t>Use pulse counting/interrupts; calculate flow rate and total volume; calibrate.</t>
        </is>
      </c>
      <c r="K37" s="6" t="inlineStr">
        <is>
          <t>Flow calibration reference</t>
        </is>
      </c>
    </row>
    <row r="38">
      <c r="A38" s="6" t="inlineStr">
        <is>
          <t>P5-06</t>
        </is>
      </c>
      <c r="B38" s="6" t="inlineStr">
        <is>
          <t>Phase 5</t>
        </is>
      </c>
      <c r="C38" s="6" t="inlineStr">
        <is>
          <t>Sensor Drivers</t>
        </is>
      </c>
      <c r="D38" s="6" t="inlineStr">
        <is>
          <t>Integrate turbidity pair</t>
        </is>
      </c>
      <c r="E38" s="6" t="inlineStr">
        <is>
          <t>Edgar</t>
        </is>
      </c>
      <c r="F38" s="4" t="n"/>
      <c r="G38" s="6" t="inlineStr">
        <is>
          <t>High</t>
        </is>
      </c>
      <c r="H38" s="6" t="inlineStr">
        <is>
          <t>Waiting Client</t>
        </is>
      </c>
      <c r="I38" s="2" t="inlineStr">
        <is>
          <t>Sep 24</t>
        </is>
      </c>
      <c r="J38" s="6" t="inlineStr">
        <is>
          <t>Wait for exact model, then implement voltage/ADC conversion and calibration.</t>
        </is>
      </c>
      <c r="K38" s="6" t="inlineStr">
        <is>
          <t>P0-03</t>
        </is>
      </c>
    </row>
    <row r="39">
      <c r="A39" s="6" t="inlineStr">
        <is>
          <t>P5-07</t>
        </is>
      </c>
      <c r="B39" s="6" t="inlineStr">
        <is>
          <t>Phase 5</t>
        </is>
      </c>
      <c r="C39" s="6" t="inlineStr">
        <is>
          <t>Device Logic</t>
        </is>
      </c>
      <c r="D39" s="6" t="inlineStr">
        <is>
          <t>Implement sensor-fault detection</t>
        </is>
      </c>
      <c r="E39" s="6" t="inlineStr">
        <is>
          <t>Edgar</t>
        </is>
      </c>
      <c r="F39" s="4" t="n"/>
      <c r="G39" s="6" t="inlineStr">
        <is>
          <t>Critical</t>
        </is>
      </c>
      <c r="H39" s="6" t="inlineStr">
        <is>
          <t>Not Started</t>
        </is>
      </c>
      <c r="I39" s="2" t="inlineStr">
        <is>
          <t>Sep 25</t>
        </is>
      </c>
      <c r="J39" s="6" t="inlineStr">
        <is>
          <t>Detect invalid/disconnected sensors locally and expose fault flags.</t>
        </is>
      </c>
      <c r="K39" s="6" t="inlineStr">
        <is>
          <t>All sensor drivers</t>
        </is>
      </c>
    </row>
    <row r="40">
      <c r="A40" s="6" t="inlineStr">
        <is>
          <t>P5-08</t>
        </is>
      </c>
      <c r="B40" s="6" t="inlineStr">
        <is>
          <t>Phase 5</t>
        </is>
      </c>
      <c r="C40" s="6" t="inlineStr">
        <is>
          <t>Device Logic</t>
        </is>
      </c>
      <c r="D40" s="6" t="inlineStr">
        <is>
          <t>Implement offline-safe operation and cycle timer</t>
        </is>
      </c>
      <c r="E40" s="6" t="inlineStr">
        <is>
          <t>Edgar</t>
        </is>
      </c>
      <c r="F40" s="4" t="n"/>
      <c r="G40" s="6" t="inlineStr">
        <is>
          <t>Critical</t>
        </is>
      </c>
      <c r="H40" s="6" t="inlineStr">
        <is>
          <t>Not Started</t>
        </is>
      </c>
      <c r="I40" s="2" t="inlineStr">
        <is>
          <t>Sep 27</t>
        </is>
      </c>
      <c r="J40" s="6" t="inlineStr">
        <is>
          <t>Build local state machine that works without internet and supports 1-hour maximum.</t>
        </is>
      </c>
      <c r="K40" s="6" t="inlineStr">
        <is>
          <t>P0-05, P0-07</t>
        </is>
      </c>
    </row>
    <row r="41">
      <c r="A41" s="6" t="inlineStr">
        <is>
          <t>P5-09</t>
        </is>
      </c>
      <c r="B41" s="6" t="inlineStr">
        <is>
          <t>Phase 5</t>
        </is>
      </c>
      <c r="C41" s="6" t="inlineStr">
        <is>
          <t>Connectivity</t>
        </is>
      </c>
      <c r="D41" s="6" t="inlineStr">
        <is>
          <t>Send real telemetry/status to backend over HTTPS</t>
        </is>
      </c>
      <c r="E41" s="6" t="inlineStr">
        <is>
          <t>Edgar</t>
        </is>
      </c>
      <c r="F41" s="4" t="n"/>
      <c r="G41" s="6" t="inlineStr">
        <is>
          <t>Critical</t>
        </is>
      </c>
      <c r="H41" s="6" t="inlineStr">
        <is>
          <t>Not Started</t>
        </is>
      </c>
      <c r="I41" s="2" t="inlineStr">
        <is>
          <t>Sep 29</t>
        </is>
      </c>
      <c r="J41" s="6" t="inlineStr">
        <is>
          <t>Implement Wi-Fi reconnect, JSON payload and retry/backoff.</t>
        </is>
      </c>
      <c r="K41" s="6" t="inlineStr">
        <is>
          <t>P2-02, P5-01</t>
        </is>
      </c>
    </row>
    <row r="42">
      <c r="A42" s="9" t="inlineStr">
        <is>
          <t>P6-01</t>
        </is>
      </c>
      <c r="B42" s="9" t="inlineStr">
        <is>
          <t>Phase 6</t>
        </is>
      </c>
      <c r="C42" s="9" t="inlineStr">
        <is>
          <t>Integration</t>
        </is>
      </c>
      <c r="D42" s="9" t="inlineStr">
        <is>
          <t>Replace simulator with real ESP32 telemetry</t>
        </is>
      </c>
      <c r="E42" s="9" t="inlineStr">
        <is>
          <t>Alejandro</t>
        </is>
      </c>
      <c r="F42" s="10" t="n"/>
      <c r="G42" s="9" t="inlineStr">
        <is>
          <t>Critical</t>
        </is>
      </c>
      <c r="H42" s="9" t="inlineStr">
        <is>
          <t>Not Started</t>
        </is>
      </c>
      <c r="I42" s="11" t="inlineStr">
        <is>
          <t>Oct 1</t>
        </is>
      </c>
      <c r="J42" s="9" t="inlineStr">
        <is>
          <t>Validate mapping, timestamps, units and online status from real device.</t>
        </is>
      </c>
      <c r="K42" s="9" t="inlineStr">
        <is>
          <t>P5-09, P3-02</t>
        </is>
      </c>
    </row>
    <row r="43">
      <c r="A43" s="6" t="inlineStr">
        <is>
          <t>P6-02</t>
        </is>
      </c>
      <c r="B43" s="6" t="inlineStr">
        <is>
          <t>Phase 6</t>
        </is>
      </c>
      <c r="C43" s="6" t="inlineStr">
        <is>
          <t>Control Integration</t>
        </is>
      </c>
      <c r="D43" s="6" t="inlineStr">
        <is>
          <t>Integrate pump/UV-C/relay status or control</t>
        </is>
      </c>
      <c r="E43" s="6" t="inlineStr">
        <is>
          <t>Edgar</t>
        </is>
      </c>
      <c r="F43" s="4" t="n"/>
      <c r="G43" s="6" t="inlineStr">
        <is>
          <t>Critical</t>
        </is>
      </c>
      <c r="H43" s="6" t="inlineStr">
        <is>
          <t>Waiting Client</t>
        </is>
      </c>
      <c r="I43" s="2" t="inlineStr">
        <is>
          <t>Oct 2</t>
        </is>
      </c>
      <c r="J43" s="6" t="inlineStr">
        <is>
          <t>Implement only after control authority and component specs are confirmed.</t>
        </is>
      </c>
      <c r="K43" s="6" t="inlineStr">
        <is>
          <t>P0-04, P0-05</t>
        </is>
      </c>
    </row>
    <row r="44">
      <c r="A44" s="9" t="inlineStr">
        <is>
          <t>P6-03</t>
        </is>
      </c>
      <c r="B44" s="9" t="inlineStr">
        <is>
          <t>Phase 6</t>
        </is>
      </c>
      <c r="C44" s="9" t="inlineStr">
        <is>
          <t>Alerts Integration</t>
        </is>
      </c>
      <c r="D44" s="9" t="inlineStr">
        <is>
          <t>Connect firmware faults to backend/dashboard alerts</t>
        </is>
      </c>
      <c r="E44" s="9" t="inlineStr">
        <is>
          <t>Alejandro</t>
        </is>
      </c>
      <c r="F44" s="10" t="n"/>
      <c r="G44" s="9" t="inlineStr">
        <is>
          <t>High</t>
        </is>
      </c>
      <c r="H44" s="9" t="inlineStr">
        <is>
          <t>Not Started</t>
        </is>
      </c>
      <c r="I44" s="11" t="inlineStr">
        <is>
          <t>Oct 3</t>
        </is>
      </c>
      <c r="J44" s="9" t="inlineStr">
        <is>
          <t>Map fault codes and quality alerts to clear diagnostics.</t>
        </is>
      </c>
      <c r="K44" s="9" t="inlineStr">
        <is>
          <t>P5-07, P2-05</t>
        </is>
      </c>
    </row>
    <row r="45">
      <c r="A45" s="6" t="inlineStr">
        <is>
          <t>P6-04</t>
        </is>
      </c>
      <c r="B45" s="6" t="inlineStr">
        <is>
          <t>Phase 6</t>
        </is>
      </c>
      <c r="C45" s="6" t="inlineStr">
        <is>
          <t>Full System Test</t>
        </is>
      </c>
      <c r="D45" s="6" t="inlineStr">
        <is>
          <t>Run end-to-end filtration session with live data</t>
        </is>
      </c>
      <c r="E45" s="6" t="inlineStr">
        <is>
          <t>Nash</t>
        </is>
      </c>
      <c r="F45" s="4" t="n"/>
      <c r="G45" s="6" t="inlineStr">
        <is>
          <t>Critical</t>
        </is>
      </c>
      <c r="H45" s="6" t="inlineStr">
        <is>
          <t>Not Started</t>
        </is>
      </c>
      <c r="I45" s="2" t="inlineStr">
        <is>
          <t>Oct 3</t>
        </is>
      </c>
      <c r="J45" s="6" t="inlineStr">
        <is>
          <t>Run one full cycle, save test-run data and verify export.</t>
        </is>
      </c>
      <c r="K45" s="6" t="inlineStr">
        <is>
          <t>Working assembled prototype</t>
        </is>
      </c>
    </row>
    <row r="46">
      <c r="A46" s="6" t="inlineStr">
        <is>
          <t>P7-01</t>
        </is>
      </c>
      <c r="B46" s="6" t="inlineStr">
        <is>
          <t>Phase 7</t>
        </is>
      </c>
      <c r="C46" s="6" t="inlineStr">
        <is>
          <t>Calibration</t>
        </is>
      </c>
      <c r="D46" s="6" t="inlineStr">
        <is>
          <t>Calibrate sensors and record calibration data</t>
        </is>
      </c>
      <c r="E46" s="6" t="inlineStr">
        <is>
          <t>Edgar</t>
        </is>
      </c>
      <c r="F46" s="4" t="n"/>
      <c r="G46" s="6" t="inlineStr">
        <is>
          <t>Critical</t>
        </is>
      </c>
      <c r="H46" s="6" t="inlineStr">
        <is>
          <t>Not Started</t>
        </is>
      </c>
      <c r="I46" s="2" t="inlineStr">
        <is>
          <t>Oct 4</t>
        </is>
      </c>
      <c r="J46" s="6" t="inlineStr">
        <is>
          <t>Perform reference calibration for all sensors and store factors/results.</t>
        </is>
      </c>
      <c r="K46" s="6" t="inlineStr">
        <is>
          <t>Reference solutions/instruments</t>
        </is>
      </c>
    </row>
    <row r="47">
      <c r="A47" s="6" t="inlineStr">
        <is>
          <t>P7-02</t>
        </is>
      </c>
      <c r="B47" s="6" t="inlineStr">
        <is>
          <t>Phase 7</t>
        </is>
      </c>
      <c r="C47" s="6" t="inlineStr">
        <is>
          <t>Accuracy</t>
        </is>
      </c>
      <c r="D47" s="6" t="inlineStr">
        <is>
          <t>Run sensor vs reference/lab accuracy tests</t>
        </is>
      </c>
      <c r="E47" s="6" t="inlineStr">
        <is>
          <t>Edgar</t>
        </is>
      </c>
      <c r="F47" s="4" t="n"/>
      <c r="G47" s="6" t="inlineStr">
        <is>
          <t>High</t>
        </is>
      </c>
      <c r="H47" s="6" t="inlineStr">
        <is>
          <t>Not Started</t>
        </is>
      </c>
      <c r="I47" s="2" t="inlineStr">
        <is>
          <t>Oct 5</t>
        </is>
      </c>
      <c r="J47" s="6" t="inlineStr">
        <is>
          <t>Collect paired sensor/reference values and export percentage-error results.</t>
        </is>
      </c>
      <c r="K47" s="6" t="inlineStr">
        <is>
          <t>P7-01, lab/reference values</t>
        </is>
      </c>
    </row>
    <row r="48">
      <c r="A48" s="6" t="inlineStr">
        <is>
          <t>P7-03</t>
        </is>
      </c>
      <c r="B48" s="6" t="inlineStr">
        <is>
          <t>Phase 7</t>
        </is>
      </c>
      <c r="C48" s="6" t="inlineStr">
        <is>
          <t>Reliability</t>
        </is>
      </c>
      <c r="D48" s="6" t="inlineStr">
        <is>
          <t>Test Wi-Fi loss, ESP32 reboot, stale dashboard and sensor failure</t>
        </is>
      </c>
      <c r="E48" s="6" t="inlineStr">
        <is>
          <t>Nash</t>
        </is>
      </c>
      <c r="F48" s="4" t="n"/>
      <c r="G48" s="6" t="inlineStr">
        <is>
          <t>Critical</t>
        </is>
      </c>
      <c r="H48" s="6" t="inlineStr">
        <is>
          <t>Not Started</t>
        </is>
      </c>
      <c r="I48" s="2" t="inlineStr">
        <is>
          <t>Oct 6</t>
        </is>
      </c>
      <c r="J48" s="6" t="inlineStr">
        <is>
          <t>Run fault scenarios and confirm expected local fail-safe/offline behavior.</t>
        </is>
      </c>
      <c r="K48" s="6" t="inlineStr">
        <is>
          <t>P6-03</t>
        </is>
      </c>
    </row>
    <row r="49">
      <c r="A49" s="6" t="inlineStr">
        <is>
          <t>P7-04</t>
        </is>
      </c>
      <c r="B49" s="6" t="inlineStr">
        <is>
          <t>Phase 7</t>
        </is>
      </c>
      <c r="C49" s="6" t="inlineStr">
        <is>
          <t>QA</t>
        </is>
      </c>
      <c r="D49" s="6" t="inlineStr">
        <is>
          <t>Verify exports and final dashboard usability</t>
        </is>
      </c>
      <c r="E49" s="6" t="inlineStr">
        <is>
          <t>Nash</t>
        </is>
      </c>
      <c r="F49" s="4" t="n"/>
      <c r="G49" s="6" t="inlineStr">
        <is>
          <t>High</t>
        </is>
      </c>
      <c r="H49" s="6" t="inlineStr">
        <is>
          <t>Not Started</t>
        </is>
      </c>
      <c r="I49" s="2" t="inlineStr">
        <is>
          <t>Oct 7</t>
        </is>
      </c>
      <c r="J49" s="6" t="inlineStr">
        <is>
          <t>Check CSV, charts, login, responsiveness, units and missing-data handling.</t>
        </is>
      </c>
      <c r="K49" s="6" t="inlineStr">
        <is>
          <t>Core features complete</t>
        </is>
      </c>
    </row>
    <row r="50">
      <c r="A50" s="6" t="inlineStr">
        <is>
          <t>P8-01</t>
        </is>
      </c>
      <c r="B50" s="6" t="inlineStr">
        <is>
          <t>Phase 8</t>
        </is>
      </c>
      <c r="C50" s="6" t="inlineStr">
        <is>
          <t>Deployment</t>
        </is>
      </c>
      <c r="D50" s="6" t="inlineStr">
        <is>
          <t>Deploy frontend, backend and production database config</t>
        </is>
      </c>
      <c r="E50" s="6" t="inlineStr">
        <is>
          <t>Nash</t>
        </is>
      </c>
      <c r="F50" s="4" t="n"/>
      <c r="G50" s="6" t="inlineStr">
        <is>
          <t>Critical</t>
        </is>
      </c>
      <c r="H50" s="6" t="inlineStr">
        <is>
          <t>Not Started</t>
        </is>
      </c>
      <c r="I50" s="2" t="inlineStr">
        <is>
          <t>Oct 7</t>
        </is>
      </c>
      <c r="J50" s="6" t="inlineStr">
        <is>
          <t>Deploy Vercel/Render/Supabase, configure secrets and test public URL.</t>
        </is>
      </c>
      <c r="K50" s="6" t="inlineStr">
        <is>
          <t>P6 complete</t>
        </is>
      </c>
    </row>
    <row r="51">
      <c r="A51" s="6" t="inlineStr">
        <is>
          <t>P8-02</t>
        </is>
      </c>
      <c r="B51" s="6" t="inlineStr">
        <is>
          <t>Phase 8</t>
        </is>
      </c>
      <c r="C51" s="6" t="inlineStr">
        <is>
          <t>Documentation</t>
        </is>
      </c>
      <c r="D51" s="6" t="inlineStr">
        <is>
          <t>Finalize README, architecture, API and operator guide</t>
        </is>
      </c>
      <c r="E51" s="6" t="inlineStr">
        <is>
          <t>Nash</t>
        </is>
      </c>
      <c r="F51" s="4" t="n"/>
      <c r="G51" s="6" t="inlineStr">
        <is>
          <t>High</t>
        </is>
      </c>
      <c r="H51" s="6" t="inlineStr">
        <is>
          <t>Not Started</t>
        </is>
      </c>
      <c r="I51" s="2" t="inlineStr">
        <is>
          <t>Oct 8</t>
        </is>
      </c>
      <c r="J51" s="6" t="inlineStr">
        <is>
          <t>Document startup, shutdown, common errors, integration and recovery.</t>
        </is>
      </c>
      <c r="K51" s="6" t="inlineStr">
        <is>
          <t>All core features</t>
        </is>
      </c>
    </row>
    <row r="52">
      <c r="A52" s="6" t="inlineStr">
        <is>
          <t>P8-03</t>
        </is>
      </c>
      <c r="B52" s="6" t="inlineStr">
        <is>
          <t>Phase 8</t>
        </is>
      </c>
      <c r="C52" s="6" t="inlineStr">
        <is>
          <t>Defense Prep</t>
        </is>
      </c>
      <c r="D52" s="6" t="inlineStr">
        <is>
          <t>Create final demo checklist and backup plan</t>
        </is>
      </c>
      <c r="E52" s="6" t="inlineStr">
        <is>
          <t>Nash</t>
        </is>
      </c>
      <c r="F52" s="4" t="n"/>
      <c r="G52" s="6" t="inlineStr">
        <is>
          <t>Critical</t>
        </is>
      </c>
      <c r="H52" s="6" t="inlineStr">
        <is>
          <t>Not Started</t>
        </is>
      </c>
      <c r="I52" s="2" t="inlineStr">
        <is>
          <t>Oct 8</t>
        </is>
      </c>
      <c r="J52" s="6" t="inlineStr">
        <is>
          <t>Freeze features; prepare local fallback, sample data and exact demo sequence.</t>
        </is>
      </c>
      <c r="K52" s="6" t="inlineStr">
        <is>
          <t>P8-01</t>
        </is>
      </c>
    </row>
    <row r="53">
      <c r="A53" s="6" t="inlineStr">
        <is>
          <t>P8-04</t>
        </is>
      </c>
      <c r="B53" s="6" t="inlineStr">
        <is>
          <t>Phase 8</t>
        </is>
      </c>
      <c r="C53" s="6" t="inlineStr">
        <is>
          <t>Defense Prep</t>
        </is>
      </c>
      <c r="D53" s="6" t="inlineStr">
        <is>
          <t>Full rehearsal with hardware team</t>
        </is>
      </c>
      <c r="E53" s="6" t="inlineStr">
        <is>
          <t>Nash</t>
        </is>
      </c>
      <c r="F53" s="4" t="n"/>
      <c r="G53" s="6" t="inlineStr">
        <is>
          <t>Critical</t>
        </is>
      </c>
      <c r="H53" s="6" t="inlineStr">
        <is>
          <t>Not Started</t>
        </is>
      </c>
      <c r="I53" s="2" t="inlineStr">
        <is>
          <t>Oct 9</t>
        </is>
      </c>
      <c r="J53" s="6" t="inlineStr">
        <is>
          <t>Rehearse power-on → dashboard → test run → alerts → export.</t>
        </is>
      </c>
      <c r="K53" s="6" t="inlineStr">
        <is>
          <t>All hardware/software ready</t>
        </is>
      </c>
    </row>
    <row r="54">
      <c r="A54" s="6" t="inlineStr">
        <is>
          <t>P8-05</t>
        </is>
      </c>
      <c r="B54" s="6" t="inlineStr">
        <is>
          <t>Phase 8</t>
        </is>
      </c>
      <c r="C54" s="6" t="inlineStr">
        <is>
          <t>Defense</t>
        </is>
      </c>
      <c r="D54" s="6" t="inlineStr">
        <is>
          <t>Final defense support</t>
        </is>
      </c>
      <c r="E54" s="6" t="inlineStr">
        <is>
          <t>Nash</t>
        </is>
      </c>
      <c r="F54" s="4" t="n"/>
      <c r="G54" s="6" t="inlineStr">
        <is>
          <t>Critical</t>
        </is>
      </c>
      <c r="H54" s="6" t="inlineStr">
        <is>
          <t>Not Started</t>
        </is>
      </c>
      <c r="I54" s="2" t="inlineStr">
        <is>
          <t>Oct 10</t>
        </is>
      </c>
      <c r="J54" s="6" t="inlineStr">
        <is>
          <t>Support stable final demo with backups, chargers and local build.</t>
        </is>
      </c>
      <c r="K54" s="6" t="inlineStr">
        <is>
          <t>P8-04</t>
        </is>
      </c>
    </row>
    <row r="55">
      <c r="F55" s="4" t="n"/>
    </row>
    <row r="56">
      <c r="F5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Category</t>
        </is>
      </c>
      <c r="B1" s="3" t="inlineStr">
        <is>
          <t>Requirement / Question</t>
        </is>
      </c>
      <c r="C1" s="3" t="inlineStr">
        <is>
          <t>Client Answer</t>
        </is>
      </c>
      <c r="D1" s="3" t="inlineStr">
        <is>
          <t>Status</t>
        </is>
      </c>
      <c r="E1" s="3" t="inlineStr">
        <is>
          <t>Software / Project Impact</t>
        </is>
      </c>
      <c r="F1" s="3" t="inlineStr">
        <is>
          <t>Follow-up Owner</t>
        </is>
      </c>
      <c r="G1" s="3" t="inlineStr">
        <is>
          <t>Target</t>
        </is>
      </c>
      <c r="H1" s="3" t="inlineStr">
        <is>
          <t>Source / Link</t>
        </is>
      </c>
    </row>
    <row r="2">
      <c r="A2" s="6" t="inlineStr">
        <is>
          <t>Project Status</t>
        </is>
      </c>
      <c r="B2" s="6" t="inlineStr">
        <is>
          <t>Current prototype status</t>
        </is>
      </c>
      <c r="C2" s="6" t="inlineStr">
        <is>
          <t>Components purchased; assembly in progress; some parts tested. Sensor scripts are individual only and not integrated.</t>
        </is>
      </c>
      <c r="D2" s="6" t="inlineStr">
        <is>
          <t>Confirmed</t>
        </is>
      </c>
      <c r="E2" s="6" t="inlineStr">
        <is>
          <t>Software can start in parallel using simulator; hardware integration comes later.</t>
        </is>
      </c>
      <c r="F2" s="6" t="inlineStr">
        <is>
          <t>Nash</t>
        </is>
      </c>
      <c r="G2" s="2" t="inlineStr">
        <is>
          <t>Sep 14</t>
        </is>
      </c>
      <c r="H2" s="6" t="inlineStr">
        <is>
          <t>Client Phase 0 Form, 2026-09-11</t>
        </is>
      </c>
    </row>
    <row r="3">
      <c r="A3" s="6" t="inlineStr">
        <is>
          <t>Microcontroller</t>
        </is>
      </c>
      <c r="B3" s="6" t="inlineStr">
        <is>
          <t>Board/model</t>
        </is>
      </c>
      <c r="C3" s="6" t="inlineStr">
        <is>
          <t>ESP32 WROOM 32</t>
        </is>
      </c>
      <c r="D3" s="6" t="inlineStr">
        <is>
          <t>Confirmed</t>
        </is>
      </c>
      <c r="E3" s="6" t="inlineStr">
        <is>
          <t>Use PlatformIO + Arduino framework targeting ESP32-WROOM-32.</t>
        </is>
      </c>
      <c r="F3" s="6" t="inlineStr">
        <is>
          <t>Edgar</t>
        </is>
      </c>
      <c r="G3" s="2" t="inlineStr">
        <is>
          <t>Sep 14</t>
        </is>
      </c>
      <c r="H3" s="7" t="inlineStr">
        <is>
          <t>https://documentation.espressif.com/esp32-wroom-32_datasheet_en.pdf</t>
        </is>
      </c>
    </row>
    <row r="4">
      <c r="A4" s="6" t="inlineStr">
        <is>
          <t>pH</t>
        </is>
      </c>
      <c r="B4" s="6" t="inlineStr">
        <is>
          <t>Sensor</t>
        </is>
      </c>
      <c r="C4" s="6" t="inlineStr">
        <is>
          <t>PowerMav Electronics PH-4502C, Qty 2</t>
        </is>
      </c>
      <c r="D4" s="6" t="inlineStr">
        <is>
          <t>Confirmed</t>
        </is>
      </c>
      <c r="E4" s="6" t="inlineStr">
        <is>
          <t>Pre and post pH channels required.</t>
        </is>
      </c>
      <c r="F4" s="6" t="inlineStr">
        <is>
          <t>Edgar</t>
        </is>
      </c>
      <c r="G4" s="2" t="inlineStr">
        <is>
          <t>Sep 21</t>
        </is>
      </c>
      <c r="H4" s="7" t="inlineStr">
        <is>
          <t>https://powermavelectronics.com/shop/module/ph-sensor-module-set/</t>
        </is>
      </c>
    </row>
    <row r="5">
      <c r="A5" s="6" t="inlineStr">
        <is>
          <t>Turbidity</t>
        </is>
      </c>
      <c r="B5" s="6" t="inlineStr">
        <is>
          <t>Sensor</t>
        </is>
      </c>
      <c r="C5" s="6" t="inlineStr">
        <is>
          <t>Qty 2; exact brand/model not provided</t>
        </is>
      </c>
      <c r="D5" s="6" t="inlineStr">
        <is>
          <t>Pending</t>
        </is>
      </c>
      <c r="E5" s="6" t="inlineStr">
        <is>
          <t>Cannot finalize ADC conversion/calibration until model is known.</t>
        </is>
      </c>
      <c r="F5" s="6" t="inlineStr">
        <is>
          <t>Edgar</t>
        </is>
      </c>
      <c r="G5" s="2" t="inlineStr">
        <is>
          <t>Sep 15</t>
        </is>
      </c>
      <c r="H5" s="6" t="inlineStr">
        <is>
          <t>Client Phase 0 Form, 2026-09-11</t>
        </is>
      </c>
    </row>
    <row r="6">
      <c r="A6" s="6" t="inlineStr">
        <is>
          <t>TDS</t>
        </is>
      </c>
      <c r="B6" s="6" t="inlineStr">
        <is>
          <t>Sensor</t>
        </is>
      </c>
      <c r="C6" s="6" t="inlineStr">
        <is>
          <t>DFRobot TDS sensor, Qty 2</t>
        </is>
      </c>
      <c r="D6" s="6" t="inlineStr">
        <is>
          <t>Confirmed</t>
        </is>
      </c>
      <c r="E6" s="6" t="inlineStr">
        <is>
          <t>Pre and post TDS channels required.</t>
        </is>
      </c>
      <c r="F6" s="6" t="inlineStr">
        <is>
          <t>Edgar</t>
        </is>
      </c>
      <c r="G6" s="2" t="inlineStr">
        <is>
          <t>Sep 22</t>
        </is>
      </c>
      <c r="H6" s="7" t="inlineStr">
        <is>
          <t>https://mm.digikey.com/Volume0/opasdata/d220001/medias/docus/2309/SEN0244_Web.pdf</t>
        </is>
      </c>
    </row>
    <row r="7">
      <c r="A7" s="6" t="inlineStr">
        <is>
          <t>Temperature</t>
        </is>
      </c>
      <c r="B7" s="6" t="inlineStr">
        <is>
          <t>Sensor</t>
        </is>
      </c>
      <c r="C7" s="6" t="inlineStr">
        <is>
          <t>PowerMav DS18B20, Qty 2</t>
        </is>
      </c>
      <c r="D7" s="6" t="inlineStr">
        <is>
          <t>Confirmed</t>
        </is>
      </c>
      <c r="E7" s="6" t="inlineStr">
        <is>
          <t>Use two uniquely addressed probes.</t>
        </is>
      </c>
      <c r="F7" s="6" t="inlineStr">
        <is>
          <t>Edgar</t>
        </is>
      </c>
      <c r="G7" s="2" t="inlineStr">
        <is>
          <t>Sep 21</t>
        </is>
      </c>
      <c r="H7" s="7" t="inlineStr">
        <is>
          <t>https://www.analog.com/media/en/technical-documentation/data-sheets/ds18b20.pdf</t>
        </is>
      </c>
    </row>
    <row r="8">
      <c r="A8" s="6" t="inlineStr">
        <is>
          <t>Flow</t>
        </is>
      </c>
      <c r="B8" s="6" t="inlineStr">
        <is>
          <t>Sensor</t>
        </is>
      </c>
      <c r="C8" s="6" t="inlineStr">
        <is>
          <t>PowerMav ZJ-S201C, Qty 2</t>
        </is>
      </c>
      <c r="D8" s="6" t="inlineStr">
        <is>
          <t>Confirmed</t>
        </is>
      </c>
      <c r="E8" s="6" t="inlineStr">
        <is>
          <t>Need pre/post flow rate and total volume calculation.</t>
        </is>
      </c>
      <c r="F8" s="6" t="inlineStr">
        <is>
          <t>Edgar</t>
        </is>
      </c>
      <c r="G8" s="2" t="inlineStr">
        <is>
          <t>Sep 23</t>
        </is>
      </c>
      <c r="H8" s="7" t="inlineStr">
        <is>
          <t>https://powermavelectronics.com/shop/sensor/water-flow-sensor-zj-s201c/</t>
        </is>
      </c>
    </row>
    <row r="9">
      <c r="A9" s="6" t="inlineStr">
        <is>
          <t>Sensor Placement</t>
        </is>
      </c>
      <c r="B9" s="6" t="inlineStr">
        <is>
          <t>Before/after layout</t>
        </is>
      </c>
      <c r="C9" s="6" t="inlineStr">
        <is>
          <t>One sensor set before filtration and one set after filtration.</t>
        </is>
      </c>
      <c r="D9" s="6" t="inlineStr">
        <is>
          <t>Confirmed</t>
        </is>
      </c>
      <c r="E9" s="6" t="inlineStr">
        <is>
          <t>Dashboard/database must be designed for direct before-vs-after comparison.</t>
        </is>
      </c>
      <c r="F9" s="6" t="inlineStr">
        <is>
          <t>Nash</t>
        </is>
      </c>
      <c r="G9" s="2" t="inlineStr">
        <is>
          <t>Sep 14</t>
        </is>
      </c>
      <c r="H9" s="6" t="inlineStr">
        <is>
          <t>Client Phase 0 Form, 2026-09-11</t>
        </is>
      </c>
    </row>
    <row r="10">
      <c r="A10" s="6" t="inlineStr">
        <is>
          <t>Water Flow</t>
        </is>
      </c>
      <c r="B10" s="6" t="inlineStr">
        <is>
          <t>Final sequence</t>
        </is>
      </c>
      <c r="C10" s="6" t="inlineStr">
        <is>
          <t>Water Source → Booster Pump → Sensors → Ultrafiltration → UVC → Sensors → LCD → Output</t>
        </is>
      </c>
      <c r="D10" s="6" t="inlineStr">
        <is>
          <t>Confirmed</t>
        </is>
      </c>
      <c r="E10" s="6" t="inlineStr">
        <is>
          <t>Use sequence in live water-route UI and integration tests.</t>
        </is>
      </c>
      <c r="F10" s="6" t="inlineStr">
        <is>
          <t>Nash</t>
        </is>
      </c>
      <c r="G10" s="2" t="inlineStr">
        <is>
          <t>Sep 14</t>
        </is>
      </c>
      <c r="H10" s="6" t="inlineStr">
        <is>
          <t>Client Phase 0 Form, 2026-09-11</t>
        </is>
      </c>
    </row>
    <row r="11">
      <c r="A11" s="6" t="inlineStr">
        <is>
          <t>Automation</t>
        </is>
      </c>
      <c r="B11" s="6" t="inlineStr">
        <is>
          <t>Automatically controlled components</t>
        </is>
      </c>
      <c r="C11" s="6" t="inlineStr">
        <is>
          <t>Client selected “Automatic sensor control”; pump/UV-C control not clearly selected.</t>
        </is>
      </c>
      <c r="D11" s="6" t="inlineStr">
        <is>
          <t>Clarify</t>
        </is>
      </c>
      <c r="E11" s="6" t="inlineStr">
        <is>
          <t>Control architecture cannot be finalized until actuator authority is confirmed.</t>
        </is>
      </c>
      <c r="F11" s="6" t="inlineStr">
        <is>
          <t>Nash</t>
        </is>
      </c>
      <c r="G11" s="2" t="inlineStr">
        <is>
          <t>Sep 15</t>
        </is>
      </c>
      <c r="H11" s="6" t="inlineStr">
        <is>
          <t>Client Phase 0 Form, 2026-09-11</t>
        </is>
      </c>
    </row>
    <row r="12">
      <c r="A12" s="6" t="inlineStr">
        <is>
          <t>Actuator</t>
        </is>
      </c>
      <c r="B12" s="6" t="inlineStr">
        <is>
          <t>Relay</t>
        </is>
      </c>
      <c r="C12" s="6" t="inlineStr">
        <is>
          <t>4-channel relay module</t>
        </is>
      </c>
      <c r="D12" s="6" t="inlineStr">
        <is>
          <t>Partial</t>
        </is>
      </c>
      <c r="E12" s="6" t="inlineStr">
        <is>
          <t>Need exact board/model and voltage logic.</t>
        </is>
      </c>
      <c r="F12" s="6" t="inlineStr">
        <is>
          <t>Edgar</t>
        </is>
      </c>
      <c r="G12" s="2" t="inlineStr">
        <is>
          <t>Sep 15</t>
        </is>
      </c>
      <c r="H12" s="6" t="inlineStr">
        <is>
          <t>Client Phase 0 Form, 2026-09-11</t>
        </is>
      </c>
    </row>
    <row r="13">
      <c r="A13" s="6" t="inlineStr">
        <is>
          <t>Actuator</t>
        </is>
      </c>
      <c r="B13" s="6" t="inlineStr">
        <is>
          <t>Pump</t>
        </is>
      </c>
      <c r="C13" s="6" t="inlineStr">
        <is>
          <t>Model/voltage not provided</t>
        </is>
      </c>
      <c r="D13" s="6" t="inlineStr">
        <is>
          <t>Pending</t>
        </is>
      </c>
      <c r="E13" s="6" t="inlineStr">
        <is>
          <t>Needed for control/status logic and electrical safety boundaries.</t>
        </is>
      </c>
      <c r="F13" s="6" t="inlineStr">
        <is>
          <t>Edgar</t>
        </is>
      </c>
      <c r="G13" s="2" t="inlineStr">
        <is>
          <t>Sep 15</t>
        </is>
      </c>
      <c r="H13" s="6" t="inlineStr">
        <is>
          <t>Client Phase 0 Form, 2026-09-11</t>
        </is>
      </c>
    </row>
    <row r="14">
      <c r="A14" s="6" t="inlineStr">
        <is>
          <t>Actuator</t>
        </is>
      </c>
      <c r="B14" s="6" t="inlineStr">
        <is>
          <t>UV-C</t>
        </is>
      </c>
      <c r="C14" s="6" t="inlineStr">
        <is>
          <t>Exact module/specifications not provided</t>
        </is>
      </c>
      <c r="D14" s="6" t="inlineStr">
        <is>
          <t>Pending</t>
        </is>
      </c>
      <c r="E14" s="6" t="inlineStr">
        <is>
          <t>Needed for status/control and UV-C runtime tracking.</t>
        </is>
      </c>
      <c r="F14" s="6" t="inlineStr">
        <is>
          <t>Edgar</t>
        </is>
      </c>
      <c r="G14" s="2" t="inlineStr">
        <is>
          <t>Sep 15</t>
        </is>
      </c>
      <c r="H14" s="6" t="inlineStr">
        <is>
          <t>Client Phase 0 Form, 2026-09-11</t>
        </is>
      </c>
    </row>
    <row r="15">
      <c r="A15" s="6" t="inlineStr">
        <is>
          <t>Control Rule</t>
        </is>
      </c>
      <c r="B15" s="6" t="inlineStr">
        <is>
          <t>Maximum cycle</t>
        </is>
      </c>
      <c r="C15" s="6" t="inlineStr">
        <is>
          <t>Maximum operational limit of 1 hour per filtration cycle.</t>
        </is>
      </c>
      <c r="D15" s="6" t="inlineStr">
        <is>
          <t>Confirmed</t>
        </is>
      </c>
      <c r="E15" s="6" t="inlineStr">
        <is>
          <t>ESP32 state machine must enforce local maximum timer.</t>
        </is>
      </c>
      <c r="F15" s="6" t="inlineStr">
        <is>
          <t>Edgar</t>
        </is>
      </c>
      <c r="G15" s="2" t="inlineStr">
        <is>
          <t>Sep 27</t>
        </is>
      </c>
      <c r="H15" s="6" t="inlineStr">
        <is>
          <t>Client Phase 0 Form, 2026-09-11</t>
        </is>
      </c>
    </row>
    <row r="16">
      <c r="A16" s="6" t="inlineStr">
        <is>
          <t>Control Rule</t>
        </is>
      </c>
      <c r="B16" s="6" t="inlineStr">
        <is>
          <t>Sensor failure</t>
        </is>
      </c>
      <c r="C16" s="6" t="inlineStr">
        <is>
          <t>Stop water flow if any sensor fails or disconnects.</t>
        </is>
      </c>
      <c r="D16" s="6" t="inlineStr">
        <is>
          <t>Confirmed</t>
        </is>
      </c>
      <c r="E16" s="6" t="inlineStr">
        <is>
          <t>Critical fail-safe must happen locally on ESP32, not depend on website.</t>
        </is>
      </c>
      <c r="F16" s="6" t="inlineStr">
        <is>
          <t>Edgar</t>
        </is>
      </c>
      <c r="G16" s="2" t="inlineStr">
        <is>
          <t>Sep 25</t>
        </is>
      </c>
      <c r="H16" s="6" t="inlineStr">
        <is>
          <t>Client Phase 0 Form, 2026-09-11</t>
        </is>
      </c>
    </row>
    <row r="17">
      <c r="A17" s="6" t="inlineStr">
        <is>
          <t>Offline</t>
        </is>
      </c>
      <c r="B17" s="6" t="inlineStr">
        <is>
          <t>Internet loss</t>
        </is>
      </c>
      <c r="C17" s="6" t="inlineStr">
        <is>
          <t>Dashboard freezes/displays last recorded data; hardware continues basic operation offline.</t>
        </is>
      </c>
      <c r="D17" s="6" t="inlineStr">
        <is>
          <t>Confirmed</t>
        </is>
      </c>
      <c r="E17" s="6" t="inlineStr">
        <is>
          <t>Implement stale-data UI + local ESP32 operation.</t>
        </is>
      </c>
      <c r="F17" s="6" t="inlineStr">
        <is>
          <t>Nash</t>
        </is>
      </c>
      <c r="G17" s="2" t="inlineStr">
        <is>
          <t>Sep 24</t>
        </is>
      </c>
      <c r="H17" s="6" t="inlineStr">
        <is>
          <t>Client Phase 0 Form, 2026-09-11</t>
        </is>
      </c>
    </row>
    <row r="18">
      <c r="A18" s="6" t="inlineStr">
        <is>
          <t>Website</t>
        </is>
      </c>
      <c r="B18" s="6" t="inlineStr">
        <is>
          <t>Realtime data</t>
        </is>
      </c>
      <c r="C18" s="6" t="inlineStr">
        <is>
          <t>pH, turbidity, TDS, temperature, flow, total volume, pump, UV-C, filtration, ESP32 online/offline, last update.</t>
        </is>
      </c>
      <c r="D18" s="6" t="inlineStr">
        <is>
          <t>Confirmed</t>
        </is>
      </c>
      <c r="E18" s="6" t="inlineStr">
        <is>
          <t>These fields define the MVP dashboard contract.</t>
        </is>
      </c>
      <c r="F18" s="6" t="inlineStr">
        <is>
          <t>Nash</t>
        </is>
      </c>
      <c r="G18" s="2" t="inlineStr">
        <is>
          <t>Sep 20</t>
        </is>
      </c>
      <c r="H18" s="6" t="inlineStr">
        <is>
          <t>Client Phase 0 Form, 2026-09-11</t>
        </is>
      </c>
    </row>
    <row r="19">
      <c r="A19" s="6" t="inlineStr">
        <is>
          <t>Website</t>
        </is>
      </c>
      <c r="B19" s="6" t="inlineStr">
        <is>
          <t>Live water route</t>
        </is>
      </c>
      <c r="C19" s="6" t="inlineStr">
        <is>
          <t>Stable / on / off route visualization requested.</t>
        </is>
      </c>
      <c r="D19" s="6" t="inlineStr">
        <is>
          <t>Confirmed</t>
        </is>
      </c>
      <c r="E19" s="6" t="inlineStr">
        <is>
          <t>Add route/status visualization based on device states.</t>
        </is>
      </c>
      <c r="F19" s="6" t="inlineStr">
        <is>
          <t>Nash</t>
        </is>
      </c>
      <c r="G19" s="2" t="inlineStr">
        <is>
          <t>Sep 21</t>
        </is>
      </c>
      <c r="H19" s="6" t="inlineStr">
        <is>
          <t>Client Phase 0 Form, 2026-09-11</t>
        </is>
      </c>
    </row>
    <row r="20">
      <c r="A20" s="6" t="inlineStr">
        <is>
          <t>Website</t>
        </is>
      </c>
      <c r="B20" s="6" t="inlineStr">
        <is>
          <t>Core features</t>
        </is>
      </c>
      <c r="C20" s="6" t="inlineStr">
        <is>
          <t>Realtime dashboard, current readings, status, history, charts, alerts, table, CSV export.</t>
        </is>
      </c>
      <c r="D20" s="6" t="inlineStr">
        <is>
          <t>Confirmed</t>
        </is>
      </c>
      <c r="E20" s="6" t="inlineStr">
        <is>
          <t>All included in planned scope.</t>
        </is>
      </c>
      <c r="F20" s="6" t="inlineStr">
        <is>
          <t>Nash</t>
        </is>
      </c>
      <c r="G20" s="2" t="inlineStr">
        <is>
          <t>Sep 25</t>
        </is>
      </c>
      <c r="H20" s="6" t="inlineStr">
        <is>
          <t>Client Phase 0 Form, 2026-09-11</t>
        </is>
      </c>
    </row>
    <row r="21">
      <c r="A21" s="6" t="inlineStr">
        <is>
          <t>Research</t>
        </is>
      </c>
      <c r="B21" s="6" t="inlineStr">
        <is>
          <t>Research/testing features</t>
        </is>
      </c>
      <c r="C21" s="6" t="inlineStr">
        <is>
          <t>Test runs, before/after records, calibration, lab validation, sensor-vs-lab, % error, power records.</t>
        </is>
      </c>
      <c r="D21" s="6" t="inlineStr">
        <is>
          <t>Confirmed</t>
        </is>
      </c>
      <c r="E21" s="6" t="inlineStr">
        <is>
          <t>Create dedicated research modules/tables.</t>
        </is>
      </c>
      <c r="F21" s="6" t="inlineStr">
        <is>
          <t>Alejandro</t>
        </is>
      </c>
      <c r="G21" s="2" t="inlineStr">
        <is>
          <t>Sep 30</t>
        </is>
      </c>
      <c r="H21" s="6" t="inlineStr">
        <is>
          <t>Client Phase 0 Form, 2026-09-11</t>
        </is>
      </c>
    </row>
    <row r="22">
      <c r="A22" s="6" t="inlineStr">
        <is>
          <t>Optional</t>
        </is>
      </c>
      <c r="B22" s="6" t="inlineStr">
        <is>
          <t>Accounts/features</t>
        </is>
      </c>
      <c r="C22" s="6" t="inlineStr">
        <is>
          <t>Login, admin, roles, remote manual control, maintenance, filter reminder, UV-C hours.</t>
        </is>
      </c>
      <c r="D22" s="6" t="inlineStr">
        <is>
          <t>Confirmed</t>
        </is>
      </c>
      <c r="E22" s="6" t="inlineStr">
        <is>
          <t>Include after core MVP; remote control depends on actuator clarification.</t>
        </is>
      </c>
      <c r="F22" s="6" t="inlineStr">
        <is>
          <t>Nash</t>
        </is>
      </c>
      <c r="G22" s="2" t="inlineStr">
        <is>
          <t>Oct 1</t>
        </is>
      </c>
      <c r="H22" s="6" t="inlineStr">
        <is>
          <t>Client Phase 0 Form, 2026-09-11</t>
        </is>
      </c>
    </row>
    <row r="23">
      <c r="A23" s="6" t="inlineStr">
        <is>
          <t>Notification</t>
        </is>
      </c>
      <c r="B23" s="6" t="inlineStr">
        <is>
          <t>SMS fault/error alerts</t>
        </is>
      </c>
      <c r="C23" s="6" t="inlineStr">
        <is>
          <t>Requested</t>
        </is>
      </c>
      <c r="D23" s="6" t="inlineStr">
        <is>
          <t>Confirmed</t>
        </is>
      </c>
      <c r="E23" s="6" t="inlineStr">
        <is>
          <t>Create provider-neutral alert service; choose SMS provider later.</t>
        </is>
      </c>
      <c r="F23" s="6" t="inlineStr">
        <is>
          <t>Alejandro</t>
        </is>
      </c>
      <c r="G23" s="2" t="inlineStr">
        <is>
          <t>Sep 27</t>
        </is>
      </c>
      <c r="H23" s="6" t="inlineStr">
        <is>
          <t>Client Phase 0 Form, 2026-09-11</t>
        </is>
      </c>
    </row>
    <row r="24">
      <c r="A24" s="6" t="inlineStr">
        <is>
          <t>Alerts</t>
        </is>
      </c>
      <c r="B24" s="6" t="inlineStr">
        <is>
          <t>Required alert types</t>
        </is>
      </c>
      <c r="C24" s="6" t="inlineStr">
        <is>
          <t>ESP32 offline, sensor error, no flow, abnormal pH, high turbidity/TDS, temp warning, pump/UV-C problems, filter clogged.</t>
        </is>
      </c>
      <c r="D24" s="6" t="inlineStr">
        <is>
          <t>Confirmed</t>
        </is>
      </c>
      <c r="E24" s="6" t="inlineStr">
        <is>
          <t>Backend + device fault model must support these categories.</t>
        </is>
      </c>
      <c r="F24" s="6" t="inlineStr">
        <is>
          <t>Alejandro</t>
        </is>
      </c>
      <c r="G24" s="2" t="inlineStr">
        <is>
          <t>Oct 3</t>
        </is>
      </c>
      <c r="H24" s="6" t="inlineStr">
        <is>
          <t>Client Phase 0 Form, 2026-09-11</t>
        </is>
      </c>
    </row>
    <row r="25">
      <c r="A25" s="6" t="inlineStr">
        <is>
          <t>Thresholds</t>
        </is>
      </c>
      <c r="B25" s="6" t="inlineStr">
        <is>
          <t>Approved numeric thresholds</t>
        </is>
      </c>
      <c r="C25" s="6" t="inlineStr">
        <is>
          <t>All fields left blank</t>
        </is>
      </c>
      <c r="D25" s="6" t="inlineStr">
        <is>
          <t>Pending</t>
        </is>
      </c>
      <c r="E25" s="6" t="inlineStr">
        <is>
          <t>Quality alerts must remain non-final until adviser-approved values are provided.</t>
        </is>
      </c>
      <c r="F25" s="6" t="inlineStr">
        <is>
          <t>Nash</t>
        </is>
      </c>
      <c r="G25" s="2" t="inlineStr">
        <is>
          <t>Sep 18</t>
        </is>
      </c>
      <c r="H25" s="6" t="inlineStr">
        <is>
          <t>Client Phase 0 Form, 2026-09-11</t>
        </is>
      </c>
    </row>
    <row r="26">
      <c r="A26" s="6" t="inlineStr">
        <is>
          <t>Deployment</t>
        </is>
      </c>
      <c r="B26" s="6" t="inlineStr">
        <is>
          <t>Internet during defense</t>
        </is>
      </c>
      <c r="C26" s="6" t="inlineStr">
        <is>
          <t>Reliable Wi-Fi: Yes</t>
        </is>
      </c>
      <c r="D26" s="6" t="inlineStr">
        <is>
          <t>Confirmed</t>
        </is>
      </c>
      <c r="E26" s="6" t="inlineStr">
        <is>
          <t>Can use public cloud, but local fallback is still required.</t>
        </is>
      </c>
      <c r="F26" s="6" t="inlineStr">
        <is>
          <t>Nash</t>
        </is>
      </c>
      <c r="G26" s="2" t="inlineStr">
        <is>
          <t>Sep 14</t>
        </is>
      </c>
      <c r="H26" s="6" t="inlineStr">
        <is>
          <t>Client Phase 0 Form, 2026-09-11</t>
        </is>
      </c>
    </row>
    <row r="27">
      <c r="A27" s="6" t="inlineStr">
        <is>
          <t>Deployment</t>
        </is>
      </c>
      <c r="B27" s="6" t="inlineStr">
        <is>
          <t>Website access</t>
        </is>
      </c>
      <c r="C27" s="6" t="inlineStr">
        <is>
          <t>Both local network and public internet</t>
        </is>
      </c>
      <c r="D27" s="6" t="inlineStr">
        <is>
          <t>Confirmed</t>
        </is>
      </c>
      <c r="E27" s="6" t="inlineStr">
        <is>
          <t>Plan public deployment + local fallback/backup.</t>
        </is>
      </c>
      <c r="F27" s="6" t="inlineStr">
        <is>
          <t>Nash</t>
        </is>
      </c>
      <c r="G27" s="2" t="inlineStr">
        <is>
          <t>Oct 7</t>
        </is>
      </c>
      <c r="H27" s="6" t="inlineStr">
        <is>
          <t>Client Phase 0 Form, 2026-09-11</t>
        </is>
      </c>
    </row>
    <row r="28">
      <c r="A28" s="6" t="inlineStr">
        <is>
          <t>Data Timing</t>
        </is>
      </c>
      <c r="B28" s="6" t="inlineStr">
        <is>
          <t>Save/monitor interval</t>
        </is>
      </c>
      <c r="C28" s="6" t="inlineStr">
        <is>
          <t>Every 30 seconds selected; also “to be determined during testing” and one cycle per 1 liter processed.</t>
        </is>
      </c>
      <c r="D28" s="6" t="inlineStr">
        <is>
          <t>Clarify</t>
        </is>
      </c>
      <c r="E28" s="6" t="inlineStr">
        <is>
          <t>Separate sensor sampling, DB persistence and cycle completion rules.</t>
        </is>
      </c>
      <c r="F28" s="6" t="inlineStr">
        <is>
          <t>Nash</t>
        </is>
      </c>
      <c r="G28" s="2" t="inlineStr">
        <is>
          <t>Sep 16</t>
        </is>
      </c>
      <c r="H28" s="6" t="inlineStr">
        <is>
          <t>Client Phase 0 Form, 2026-09-11</t>
        </is>
      </c>
    </row>
    <row r="29">
      <c r="A29" s="6" t="inlineStr">
        <is>
          <t>Schedule</t>
        </is>
      </c>
      <c r="B29" s="6" t="inlineStr">
        <is>
          <t>Final defense date</t>
        </is>
      </c>
      <c r="C29" s="2" t="inlineStr">
        <is>
          <t>October 10, 2026</t>
        </is>
      </c>
      <c r="D29" s="6" t="inlineStr">
        <is>
          <t>Confirmed</t>
        </is>
      </c>
      <c r="E29" s="6" t="inlineStr">
        <is>
          <t>Feature freeze planned for October 8.</t>
        </is>
      </c>
      <c r="F29" s="6" t="inlineStr">
        <is>
          <t>Nash</t>
        </is>
      </c>
      <c r="G29" s="2" t="inlineStr">
        <is>
          <t>Sep 14</t>
        </is>
      </c>
      <c r="H29" s="6" t="inlineStr">
        <is>
          <t>Client Phase 0 Form, 2026-09-11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11"/>
  <sheetViews>
    <sheetView workbookViewId="0">
      <selection activeCell="A1" sqref="A1"/>
    </sheetView>
  </sheetViews>
  <sheetFormatPr baseColWidth="8" defaultColWidth="12.63" defaultRowHeight="15.75" customHeight="1"/>
  <cols>
    <col width="18.88" customWidth="1" style="8" min="7" max="7"/>
  </cols>
  <sheetData>
    <row r="1">
      <c r="A1" s="3" t="inlineStr">
        <is>
          <t>ID</t>
        </is>
      </c>
      <c r="B1" s="3" t="inlineStr">
        <is>
          <t>Risk / Issue</t>
        </is>
      </c>
      <c r="C1" s="3" t="inlineStr">
        <is>
          <t>Impact</t>
        </is>
      </c>
      <c r="D1" s="3" t="inlineStr">
        <is>
          <t>Likelihood</t>
        </is>
      </c>
      <c r="E1" s="3" t="inlineStr">
        <is>
          <t>Severity</t>
        </is>
      </c>
      <c r="F1" s="3" t="inlineStr">
        <is>
          <t>Owner</t>
        </is>
      </c>
      <c r="G1" s="3" t="inlineStr">
        <is>
          <t>Mitigation / Next Action</t>
        </is>
      </c>
      <c r="H1" s="3" t="inlineStr">
        <is>
          <t>Evidence</t>
        </is>
      </c>
      <c r="I1" s="3" t="inlineStr">
        <is>
          <t>Status</t>
        </is>
      </c>
      <c r="J1" s="3" t="inlineStr">
        <is>
          <t>Due</t>
        </is>
      </c>
    </row>
    <row r="2">
      <c r="A2" s="6" t="inlineStr">
        <is>
          <t>R-01</t>
        </is>
      </c>
      <c r="B2" s="6" t="inlineStr">
        <is>
          <t>Exact turbidity sensor model is missing</t>
        </is>
      </c>
      <c r="C2" s="6" t="inlineStr">
        <is>
          <t>Firmware/calibration for 2 channels cannot be finalized</t>
        </is>
      </c>
      <c r="D2" s="6" t="inlineStr">
        <is>
          <t>High</t>
        </is>
      </c>
      <c r="E2" s="6" t="inlineStr">
        <is>
          <t>High</t>
        </is>
      </c>
      <c r="F2" s="6" t="inlineStr">
        <is>
          <t>Edgar</t>
        </is>
      </c>
      <c r="G2" s="6" t="inlineStr">
        <is>
          <t>Get exact model/link/datasheet before implementing conversion logic.</t>
        </is>
      </c>
      <c r="H2" s="6" t="inlineStr">
        <is>
          <t>Client left model blank.</t>
        </is>
      </c>
      <c r="I2" s="6" t="inlineStr">
        <is>
          <t>Open</t>
        </is>
      </c>
      <c r="J2" s="2" t="inlineStr">
        <is>
          <t>Sep 15</t>
        </is>
      </c>
    </row>
    <row r="3">
      <c r="A3" s="6" t="inlineStr">
        <is>
          <t>R-02</t>
        </is>
      </c>
      <c r="B3" s="6" t="inlineStr">
        <is>
          <t>Pump/UV-C electrical specs are missing</t>
        </is>
      </c>
      <c r="C3" s="6" t="inlineStr">
        <is>
          <t>Unsafe or incompatible control integration risk</t>
        </is>
      </c>
      <c r="D3" s="6" t="inlineStr">
        <is>
          <t>High</t>
        </is>
      </c>
      <c r="E3" s="6" t="inlineStr">
        <is>
          <t>Critical</t>
        </is>
      </c>
      <c r="F3" s="6" t="inlineStr">
        <is>
          <t>Edgar</t>
        </is>
      </c>
      <c r="G3" s="6" t="inlineStr">
        <is>
          <t>Do not control until model, voltage/current and relay interface are confirmed.</t>
        </is>
      </c>
      <c r="H3" s="6" t="inlineStr">
        <is>
          <t>Pump and UV-C fields blank.</t>
        </is>
      </c>
      <c r="I3" s="6" t="inlineStr">
        <is>
          <t>Open</t>
        </is>
      </c>
      <c r="J3" s="2" t="inlineStr">
        <is>
          <t>Sep 15</t>
        </is>
      </c>
    </row>
    <row r="4">
      <c r="A4" s="6" t="inlineStr">
        <is>
          <t>R-03</t>
        </is>
      </c>
      <c r="B4" s="6" t="inlineStr">
        <is>
          <t>Reference wiring/pin diagram is AI-generated</t>
        </is>
      </c>
      <c r="C4" s="6" t="inlineStr">
        <is>
          <t>Potential wrong pins or unsafe assumptions</t>
        </is>
      </c>
      <c r="D4" s="6" t="inlineStr">
        <is>
          <t>High</t>
        </is>
      </c>
      <c r="E4" s="6" t="inlineStr">
        <is>
          <t>Critical</t>
        </is>
      </c>
      <c r="F4" s="6" t="inlineStr">
        <is>
          <t>Edgar</t>
        </is>
      </c>
      <c r="G4" s="6" t="inlineStr">
        <is>
          <t>Create a verified pin map from actual hardware.</t>
        </is>
      </c>
      <c r="H4" s="6" t="inlineStr">
        <is>
          <t>Client marked diagram as reference only.</t>
        </is>
      </c>
      <c r="I4" s="6" t="inlineStr">
        <is>
          <t>Open</t>
        </is>
      </c>
      <c r="J4" s="2" t="inlineStr">
        <is>
          <t>Sep 17</t>
        </is>
      </c>
    </row>
    <row r="5">
      <c r="A5" s="6" t="inlineStr">
        <is>
          <t>R-04</t>
        </is>
      </c>
      <c r="B5" s="6" t="inlineStr">
        <is>
          <t>Pump/UV-C control scope is ambiguous</t>
        </is>
      </c>
      <c r="C5" s="6" t="inlineStr">
        <is>
          <t>Remote control and fail-safe design may conflict</t>
        </is>
      </c>
      <c r="D5" s="6" t="inlineStr">
        <is>
          <t>High</t>
        </is>
      </c>
      <c r="E5" s="6" t="inlineStr">
        <is>
          <t>High</t>
        </is>
      </c>
      <c r="F5" s="6" t="inlineStr">
        <is>
          <t>Nash</t>
        </is>
      </c>
      <c r="G5" s="6" t="inlineStr">
        <is>
          <t>Get explicit monitor-only vs controllable decision.</t>
        </is>
      </c>
      <c r="H5" s="6" t="inlineStr">
        <is>
          <t>Remote control selected but auto-control boxes not selected.</t>
        </is>
      </c>
      <c r="I5" s="6" t="inlineStr">
        <is>
          <t>Open</t>
        </is>
      </c>
      <c r="J5" s="2" t="inlineStr">
        <is>
          <t>Sep 15</t>
        </is>
      </c>
    </row>
    <row r="6">
      <c r="A6" s="6" t="inlineStr">
        <is>
          <t>R-05</t>
        </is>
      </c>
      <c r="B6" s="6" t="inlineStr">
        <is>
          <t>Alert thresholds are not approved</t>
        </is>
      </c>
      <c r="C6" s="6" t="inlineStr">
        <is>
          <t>Cannot safely label abnormal water-quality values</t>
        </is>
      </c>
      <c r="D6" s="6" t="inlineStr">
        <is>
          <t>High</t>
        </is>
      </c>
      <c r="E6" s="6" t="inlineStr">
        <is>
          <t>High</t>
        </is>
      </c>
      <c r="F6" s="6" t="inlineStr">
        <is>
          <t>Nash</t>
        </is>
      </c>
      <c r="G6" s="6" t="inlineStr">
        <is>
          <t>Request adviser-approved values; keep threshold alerts pending.</t>
        </is>
      </c>
      <c r="H6" s="6" t="inlineStr">
        <is>
          <t>Threshold section blank.</t>
        </is>
      </c>
      <c r="I6" s="6" t="inlineStr">
        <is>
          <t>Open</t>
        </is>
      </c>
      <c r="J6" s="2" t="inlineStr">
        <is>
          <t>Sep 18</t>
        </is>
      </c>
    </row>
    <row r="7">
      <c r="A7" s="6" t="inlineStr">
        <is>
          <t>R-06</t>
        </is>
      </c>
      <c r="B7" s="6" t="inlineStr">
        <is>
          <t>Short timeline before Oct 10 defense</t>
        </is>
      </c>
      <c r="C7" s="6" t="inlineStr">
        <is>
          <t>Feature overload may threaten stability</t>
        </is>
      </c>
      <c r="D7" s="6" t="inlineStr">
        <is>
          <t>High</t>
        </is>
      </c>
      <c r="E7" s="6" t="inlineStr">
        <is>
          <t>Critical</t>
        </is>
      </c>
      <c r="F7" s="6" t="inlineStr">
        <is>
          <t>Nash</t>
        </is>
      </c>
      <c r="G7" s="6" t="inlineStr">
        <is>
          <t>Prioritize MVP and freeze features Oct 8.</t>
        </is>
      </c>
      <c r="H7" s="6" t="inlineStr">
        <is>
          <t>Many optional features selected.</t>
        </is>
      </c>
      <c r="I7" s="6" t="inlineStr">
        <is>
          <t>Open</t>
        </is>
      </c>
      <c r="J7" s="2" t="inlineStr">
        <is>
          <t>Oct 8</t>
        </is>
      </c>
    </row>
    <row r="8">
      <c r="A8" s="6" t="inlineStr">
        <is>
          <t>R-07</t>
        </is>
      </c>
      <c r="B8" s="6" t="inlineStr">
        <is>
          <t>Internet/cloud dependency during demo</t>
        </is>
      </c>
      <c r="C8" s="6" t="inlineStr">
        <is>
          <t>Cloud outage could break dashboard</t>
        </is>
      </c>
      <c r="D8" s="6" t="inlineStr">
        <is>
          <t>Medium</t>
        </is>
      </c>
      <c r="E8" s="6" t="inlineStr">
        <is>
          <t>High</t>
        </is>
      </c>
      <c r="F8" s="6" t="inlineStr">
        <is>
          <t>Alejandro</t>
        </is>
      </c>
      <c r="G8" s="6" t="inlineStr">
        <is>
          <t>Frontend stale/offline state is implemented. Complete backend connectivity handling and local ESP32 autonomy/fallback.</t>
        </is>
      </c>
      <c r="H8" s="6" t="inlineStr">
        <is>
          <t>Frontend v1 includes stale/offline resource states; hardware-side autonomy still pending.</t>
        </is>
      </c>
      <c r="I8" s="6" t="inlineStr">
        <is>
          <t>In Progress</t>
        </is>
      </c>
      <c r="J8" s="2" t="inlineStr">
        <is>
          <t>Oct 7</t>
        </is>
      </c>
    </row>
    <row r="9">
      <c r="A9" s="6" t="inlineStr">
        <is>
          <t>R-08</t>
        </is>
      </c>
      <c r="B9" s="6" t="inlineStr">
        <is>
          <t>SMS provider not chosen</t>
        </is>
      </c>
      <c r="C9" s="6" t="inlineStr">
        <is>
          <t>SMS feature could delay core work</t>
        </is>
      </c>
      <c r="D9" s="6" t="inlineStr">
        <is>
          <t>Medium</t>
        </is>
      </c>
      <c r="E9" s="6" t="inlineStr">
        <is>
          <t>Medium</t>
        </is>
      </c>
      <c r="F9" s="6" t="inlineStr">
        <is>
          <t>Alejandro</t>
        </is>
      </c>
      <c r="G9" s="6" t="inlineStr">
        <is>
          <t>Build provider-neutral notification service first.</t>
        </is>
      </c>
      <c r="H9" s="6" t="inlineStr">
        <is>
          <t>SMS requested without provider.</t>
        </is>
      </c>
      <c r="I9" s="6" t="inlineStr">
        <is>
          <t>Open</t>
        </is>
      </c>
      <c r="J9" s="2" t="inlineStr">
        <is>
          <t>Sep 27</t>
        </is>
      </c>
    </row>
    <row r="10">
      <c r="A10" s="6" t="inlineStr">
        <is>
          <t>R-09</t>
        </is>
      </c>
      <c r="B10" s="6" t="inlineStr">
        <is>
          <t>Sensor failure must stop water flow</t>
        </is>
      </c>
      <c r="C10" s="6" t="inlineStr">
        <is>
          <t>Critical safety logic depends on actuator control path</t>
        </is>
      </c>
      <c r="D10" s="6" t="inlineStr">
        <is>
          <t>High</t>
        </is>
      </c>
      <c r="E10" s="6" t="inlineStr">
        <is>
          <t>Critical</t>
        </is>
      </c>
      <c r="F10" s="6" t="inlineStr">
        <is>
          <t>Edgar</t>
        </is>
      </c>
      <c r="G10" s="6" t="inlineStr">
        <is>
          <t>Confirm hardware mechanism; implement local fail-safe only after control design approval.</t>
        </is>
      </c>
      <c r="H10" s="6" t="inlineStr">
        <is>
          <t>Client requirement.</t>
        </is>
      </c>
      <c r="I10" s="6" t="inlineStr">
        <is>
          <t>Open</t>
        </is>
      </c>
      <c r="J10" s="2" t="inlineStr">
        <is>
          <t>Sep 25</t>
        </is>
      </c>
    </row>
    <row r="11">
      <c r="A11" s="6" t="inlineStr">
        <is>
          <t>R-10</t>
        </is>
      </c>
      <c r="B11" s="6" t="inlineStr">
        <is>
          <t>Website may imply water is safe to drink from sensors alone</t>
        </is>
      </c>
      <c r="C11" s="6" t="inlineStr">
        <is>
          <t>Scientific/defense risk</t>
        </is>
      </c>
      <c r="D11" s="6" t="inlineStr">
        <is>
          <t>Medium</t>
        </is>
      </c>
      <c r="E11" s="6" t="inlineStr">
        <is>
          <t>High</t>
        </is>
      </c>
      <c r="F11" s="6" t="inlineStr">
        <is>
          <t>Nash</t>
        </is>
      </c>
      <c r="G11" s="6" t="inlineStr">
        <is>
          <t>Keep neutral sensor wording and separate Laboratory Validation from sensor telemetry throughout backend integration and defense demo.</t>
        </is>
      </c>
      <c r="H11" s="6" t="inlineStr">
        <is>
          <t>Frontend v1 avoids automatic potability claims and keeps Laboratory Validation as a separate research record.</t>
        </is>
      </c>
      <c r="I11" s="6" t="inlineStr">
        <is>
          <t>Mitigated / Monitor</t>
        </is>
      </c>
      <c r="J11" s="2" t="inlineStr">
        <is>
          <t>Sep 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Member</t>
        </is>
      </c>
      <c r="B1" s="3" t="inlineStr">
        <is>
          <t>Primary Role</t>
        </is>
      </c>
      <c r="C1" s="3" t="inlineStr">
        <is>
          <t>Owns</t>
        </is>
      </c>
      <c r="D1" s="3" t="inlineStr">
        <is>
          <t>Supports</t>
        </is>
      </c>
      <c r="E1" s="3" t="inlineStr">
        <is>
          <t>Key Outputs</t>
        </is>
      </c>
      <c r="F1" s="3" t="inlineStr">
        <is>
          <t>Working Rule</t>
        </is>
      </c>
    </row>
    <row r="2">
      <c r="A2" s="6" t="inlineStr">
        <is>
          <t>Nash</t>
        </is>
      </c>
      <c r="B2" s="6" t="inlineStr">
        <is>
          <t>Project Lead / Frontend</t>
        </is>
      </c>
      <c r="C2" s="6" t="inlineStr">
        <is>
          <t>Requirements, tracker, architecture, frontend, integration, deployment, client communication</t>
        </is>
      </c>
      <c r="D2" s="6" t="inlineStr">
        <is>
          <t>Backend, ESP32 troubleshooting, QA</t>
        </is>
      </c>
      <c r="E2" s="6" t="inlineStr">
        <is>
          <t>Dashboard, frontend modules, project decisions, deployment, defense plan</t>
        </is>
      </c>
      <c r="F2" s="6" t="inlineStr">
        <is>
          <t>Can work across all roles; final integrator and scope decision-maker.</t>
        </is>
      </c>
    </row>
    <row r="3">
      <c r="A3" s="6" t="inlineStr">
        <is>
          <t>Alejandro</t>
        </is>
      </c>
      <c r="B3" s="6" t="inlineStr">
        <is>
          <t>Backend Developer</t>
        </is>
      </c>
      <c r="C3" s="6" t="inlineStr">
        <is>
          <t>Node/Express API, Supabase DB, auth, realtime, alerts logic, CSV export</t>
        </is>
      </c>
      <c r="D3" s="6" t="inlineStr">
        <is>
          <t>Frontend integration, deployment, simulator</t>
        </is>
      </c>
      <c r="E3" s="6" t="inlineStr">
        <is>
          <t>Database schema, API endpoints, backend services, production config</t>
        </is>
      </c>
      <c r="F3" s="6" t="inlineStr">
        <is>
          <t>Coordinate API contract with Nash and telemetry payload with Edgar.</t>
        </is>
      </c>
    </row>
    <row r="4">
      <c r="A4" s="6" t="inlineStr">
        <is>
          <t>Edgar</t>
        </is>
      </c>
      <c r="B4" s="6" t="inlineStr">
        <is>
          <t>ESP32 / Hardware Integration</t>
        </is>
      </c>
      <c r="C4" s="6" t="inlineStr">
        <is>
          <t>ESP32 firmware, sensor drivers, local state machine, hardware/software integration, fault detection</t>
        </is>
      </c>
      <c r="D4" s="6" t="inlineStr">
        <is>
          <t>Backend payload integration, hardware team coordination</t>
        </is>
      </c>
      <c r="E4" s="6" t="inlineStr">
        <is>
          <t>Reliable sensor readings, device telemetry, fail-safe logic, verified pin map</t>
        </is>
      </c>
      <c r="F4" s="6" t="inlineStr">
        <is>
          <t>Do not wire/control unverified components; document all final pins/specs.</t>
        </is>
      </c>
    </row>
    <row r="5">
      <c r="A5" s="6" t="inlineStr">
        <is>
          <t>TEAM WORKFLOW</t>
        </is>
      </c>
      <c r="B5" s="6" t="inlineStr">
        <is>
          <t>Nash maintains priorities and client communication. Alejandro and Edgar update task status before team check-ins. API/schema changes require team agreement. Hardware assumptions must be verified before final firmware. After Oct 8, only bug fixes and defense prep.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2026-09-16T13:51:20Z</dcterms:created>
  <dcterms:modified xmlns:dcterms="http://purl.org/dc/terms/" xmlns:xsi="http://www.w3.org/2001/XMLSchema-instance" xsi:type="dcterms:W3CDTF">2026-09-16T14:13:13Z</dcterms:modified>
</cp:coreProperties>
</file>